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ty/Downloads/"/>
    </mc:Choice>
  </mc:AlternateContent>
  <xr:revisionPtr revIDLastSave="0" documentId="13_ncr:1_{5CA31E17-965B-234B-AA42-A4378CE9FADA}" xr6:coauthVersionLast="47" xr6:coauthVersionMax="47" xr10:uidLastSave="{00000000-0000-0000-0000-000000000000}"/>
  <bookViews>
    <workbookView xWindow="0" yWindow="680" windowWidth="34200" windowHeight="21460" tabRatio="500" xr2:uid="{00000000-000D-0000-FFFF-FFFF00000000}"/>
  </bookViews>
  <sheets>
    <sheet name="Macro Assumptions" sheetId="1" r:id="rId1"/>
    <sheet name="Asset Class Forecasts" sheetId="2" r:id="rId2"/>
    <sheet name="Methodology &amp; Sour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4" i="1" l="1"/>
  <c r="B21" i="1"/>
  <c r="B22" i="1" s="1"/>
  <c r="B14" i="1"/>
  <c r="B13" i="1"/>
  <c r="D38" i="2"/>
  <c r="C38" i="2"/>
  <c r="B38" i="2"/>
  <c r="L15" i="2"/>
  <c r="E37" i="2" s="1"/>
  <c r="L14" i="2"/>
  <c r="E36" i="2" s="1"/>
  <c r="L13" i="2"/>
  <c r="E35" i="2" s="1"/>
  <c r="L12" i="2"/>
  <c r="E34" i="2" s="1"/>
  <c r="K12" i="2"/>
  <c r="J11" i="2"/>
  <c r="L11" i="2" s="1"/>
  <c r="E33" i="2" s="1"/>
  <c r="D10" i="2"/>
  <c r="L10" i="2" s="1"/>
  <c r="E32" i="2" s="1"/>
  <c r="K9" i="2"/>
  <c r="C9" i="2"/>
  <c r="L9" i="2" s="1"/>
  <c r="E31" i="2" s="1"/>
  <c r="K8" i="2"/>
  <c r="L8" i="2" s="1"/>
  <c r="E30" i="2" s="1"/>
  <c r="C8" i="2"/>
  <c r="C7" i="2"/>
  <c r="L7" i="2" s="1"/>
  <c r="E29" i="2" s="1"/>
  <c r="C6" i="2"/>
  <c r="L6" i="2" s="1"/>
  <c r="E28" i="2" s="1"/>
  <c r="L5" i="2"/>
  <c r="E27" i="2" s="1"/>
  <c r="C5" i="2"/>
  <c r="F31" i="2" l="1"/>
  <c r="H31" i="2"/>
  <c r="G31" i="2"/>
  <c r="F27" i="2"/>
  <c r="H27" i="2"/>
  <c r="G27" i="2"/>
  <c r="F33" i="2"/>
  <c r="H33" i="2"/>
  <c r="G33" i="2"/>
  <c r="F37" i="2"/>
  <c r="H37" i="2"/>
  <c r="G37" i="2"/>
  <c r="F29" i="2"/>
  <c r="H29" i="2"/>
  <c r="G29" i="2"/>
  <c r="F35" i="2"/>
  <c r="H35" i="2"/>
  <c r="G35" i="2"/>
  <c r="H32" i="2"/>
  <c r="G32" i="2"/>
  <c r="F32" i="2"/>
  <c r="H28" i="2"/>
  <c r="G28" i="2"/>
  <c r="F28" i="2"/>
  <c r="H34" i="2"/>
  <c r="G34" i="2"/>
  <c r="F34" i="2"/>
  <c r="H30" i="2"/>
  <c r="G30" i="2"/>
  <c r="F30" i="2"/>
  <c r="H36" i="2"/>
  <c r="G36" i="2"/>
  <c r="F36" i="2"/>
  <c r="F38" i="2" l="1"/>
  <c r="F41" i="2" s="1"/>
  <c r="G38" i="2"/>
  <c r="G41" i="2" s="1"/>
  <c r="H38" i="2"/>
  <c r="H41" i="2" s="1"/>
</calcChain>
</file>

<file path=xl/sharedStrings.xml><?xml version="1.0" encoding="utf-8"?>
<sst xmlns="http://schemas.openxmlformats.org/spreadsheetml/2006/main" count="341" uniqueCount="292">
  <si>
    <t>NSWDF 10-Year Capital Market Assumptions — Macro Anchors</t>
  </si>
  <si>
    <t>Forecast horizon: 10 years from 2 April 2026  |  Author: WaterNSW Treasury Team  |  Updated: May 2026 — incorporating AI boom, supply-chain reshoring &amp; geopolitical risk overlay</t>
  </si>
  <si>
    <t>Variable</t>
  </si>
  <si>
    <t>10Y Avg / Endpoint</t>
  </si>
  <si>
    <t>Format</t>
  </si>
  <si>
    <t>Rationale (PM Judgement)</t>
  </si>
  <si>
    <t>Anchor / Source</t>
  </si>
  <si>
    <t>Change vs Prior CMA</t>
  </si>
  <si>
    <t>COLOUR CODE:  Blue = hardcoded input    Green = formula linked to other cell in this sheet    Black = derived formula    Cells shaded YELLOW = key assumption requiring attention</t>
  </si>
  <si>
    <t>1. Inflation (10-year average)</t>
  </si>
  <si>
    <t>Australian CPI (headline, YoY)</t>
  </si>
  <si>
    <t>%</t>
  </si>
  <si>
    <t>RBA 2–3% target band: we sit 10 bps above the prior 2.50% midpoint assumption at 2.60%. Three structural forces lift the 10Y average: (i) AI data-centre energy demand adds an estimated +10–15 bps to electricity CPI annually as data-centre build-out pushes baseload demand; (ii) supply-chain reshoring raises goods-import costs — domestically produced substitutes carry 15–25% cost premiums over legacy Asian manufacturing; and (iii) geopolitical risk premia (sanctions, shipping disruptions, critical-minerals export controls) embed a persistent +5–10 bps tradeable-goods premium. Partially offset by AI-driven productivity in services (wage-bill compression in administrative roles, ~−10 bps). Labour market remains structurally tight; rents and insurance lead services persistence. Net: 2.60%, skewed to the upside.</t>
  </si>
  <si>
    <t>RBA SoMP (May 2026); ABS CPI 6401.0; RBA energy-transition research; OECD reshoring cost study</t>
  </si>
  <si>
    <t>+10 bps vs prior (2.50% → 2.60%)</t>
  </si>
  <si>
    <t>US CPI (headline, YoY)</t>
  </si>
  <si>
    <t>Revised materially higher to 2.70% (was 2.40%). The Trump tariff regime (April 2026 "Liberation Day" tariffs averaging 25–30% on a broad import basket) represents the most significant supply-side inflation shock since COVID. Fed research and our internal model estimate a +0.4–0.6% CPI first-round pass-through, with ~40% persistence over 3–5 years as producers rebase supply chains. Reshoring adds a structural goods-cost premium: domestic manufacturing carries 20–35% unit-cost disadvantage vs offshore. Services inflation (shelter, medical, insurance) remains structurally anchored at 3.5–4.0% — a structural ceiling, not a peak. AI partially offsets via disinflationary productivity in software, logistics and back-office services (~−15 bps). Fed CPI typically prints 30–40 bps above PCE; PCE target of 2% implies CPI structural floor ~2.3–2.4%. Our 2.70% reflects tariff persistence + services stickiness, landing well above the old 2.40% assumption.</t>
  </si>
  <si>
    <t>Fed SEP (Mar 2026); BLS CPI; FOMC dot plot; Fed staff tariff pass-through analysis; BIS reshoring papers</t>
  </si>
  <si>
    <t>+30 bps vs prior (2.40% → 2.70%)</t>
  </si>
  <si>
    <t xml:space="preserve">  ↳ AU CPI decomposition: Energy +0.15% | Shelter/Rents +0.90% | Tradeable goods +0.40% | AI-offset −0.10% | Other services +1.25% = 2.60%</t>
  </si>
  <si>
    <t>2. Real GDP growth (10-year average)</t>
  </si>
  <si>
    <t>Australian real GDP growth</t>
  </si>
  <si>
    <t>Revised to 2.10% (was 2.00%). Supply-side: population growth ~1.35% + structural productivity ~0.75% (lifted 10 bps from prior by AI adoption in mining, financial services and professional services). Australia benefits from a critical-minerals supercycle 2.0: lithium, cobalt, copper and rare earths are essential inputs for AI hardware and energy transition — adds ~+0.15% to resources sector GDP. Headwinds: (i) geopolitical de-globalisation reduces export market optionality; (ii) fiscal consolidation from elevated defence spend; (iii) housing supply constraint depresses dwelling investment. AI tailwind arrives 2–3 years later in Australia vs US (software/services sector smaller as share of GDP). Net: 2.10%, back-half weighted.</t>
  </si>
  <si>
    <t>Treasury IGR 2023; RBA SoMP; IMF WEO (Apr 2026); CSIRO AI economy modelling; Geoscience Australia critical minerals</t>
  </si>
  <si>
    <t>+10 bps vs prior (2.00% → 2.10%)</t>
  </si>
  <si>
    <t>US real GDP growth</t>
  </si>
  <si>
    <t>Revised to 2.10% (was 1.80%). The AI productivity boom is the dominant upward revision. Historical analogues (electricity adoption 1920s, IT revolution 1990s) suggest TFP uplift of +0.3–0.5% p.a. once diffusion exceeds ~30% of firms (expected by 2027–28). We adopt a conservative +0.30% premium to CBO's 1.80% potential, recognising implementation lags. Tariff headwinds partially offset: 25–30% broad tariffs reduce trade efficiency, contributing an estimated −0.15% to −0.25% GDP drag (IMF tariff multiplier estimates). Reshoring manufacturing is labour-intensive and investment-intensive — creates a short-run boost but steady-state productivity drag. Geopolitical risk: supply chain diversification raises capex but also spreads risk. Labour force growth: slowing (immigration reform), capping potential. Net: CBO 1.80% + AI +0.30% − tariff drag 0.10% ≈ 2.00–2.10%.</t>
  </si>
  <si>
    <t>CBO Long-Term Budget Outlook (2026); Fed SEP; McKinsey AI productivity modelling; IMF tariff multiplier research</t>
  </si>
  <si>
    <t>+30 bps vs prior (1.80% → 2.10%)</t>
  </si>
  <si>
    <t>Australian nominal GDP (derived)</t>
  </si>
  <si>
    <t>Anchor for ASX EPS growth and listed property DPS growth. Links to AU CPI (B7) + AU real GDP (B11).</t>
  </si>
  <si>
    <t>Derived — formula links to rows 7 &amp; 11</t>
  </si>
  <si>
    <t>+20 bps implied (4.70% vs 4.50%)</t>
  </si>
  <si>
    <t>US nominal GDP (derived)</t>
  </si>
  <si>
    <t>Anchor for global ex-Aus EPS growth. Links to US CPI (B8) + US real GDP (B12).</t>
  </si>
  <si>
    <t>Derived — formula links to rows 8 &amp; 12</t>
  </si>
  <si>
    <t>+60 bps implied (4.80% vs 4.20%)</t>
  </si>
  <si>
    <t>3. Neutral / 10Y average policy rates</t>
  </si>
  <si>
    <t>RBA cash rate (10Y average)</t>
  </si>
  <si>
    <t>Revised to 3.35% (was 3.25%). Neutral nominal rate = neutral real + long-run CPI. RBA's estimated neutral real rate: ~0.75% (per RBA Bulletin). With AU CPI revised to 2.60%, implied neutral nominal = 3.35%. The 10Y average will include an early-cycle easing phase (RBA likely to cut 50–75 bps by end-2026 as disinflation consolidates) followed by renormalisation. Structurally, higher government borrowing for defence and energy transition keeps the term premium elevated. AI capex boom raises the return on capital, supporting a slightly higher neutral rate than 2010s estimates. Full cycle average lands at ~3.35%.</t>
  </si>
  <si>
    <t>RBA Bulletin: neutral rate (2025); OIS forward curve; RBA SoMP May 2026</t>
  </si>
  <si>
    <t>+10 bps vs prior (3.25% → 3.35%)</t>
  </si>
  <si>
    <t>Fed funds rate (10Y average)</t>
  </si>
  <si>
    <t>Revised to 3.20% (was 3.00%). Neutral real ~0.50% (HLW/FRB NY r-star) + US CPI 2.70% = 3.20%. Key drivers: (i) Tariff shock delays the rate-cutting cycle — Fed unlikely to deliver more than 50 bps of cuts through 2026 as CPI stays above 2.5%; (ii) AI investment boom is capital-intensive, raising the equilibrium real rate (as Summers/Rachel-Summers predict when fiscal policy and investment both expand); (iii) treasury supply surge (deficit financing) keeps term premium structurally positive. Slightly below RBA, supporting a 15 bps positive AUD-USD hedge carry (vs prior 25 bps).</t>
  </si>
  <si>
    <t>FOMC SEP (Mar 2026); HLW r-star (FRBNY); Fed staff r* estimates; CBO deficit projections</t>
  </si>
  <si>
    <t>+20 bps vs prior (3.00% → 3.20%)</t>
  </si>
  <si>
    <t>4. AUD/USD currency assumptions</t>
  </si>
  <si>
    <t>AUD/USD spot (2 April 2026)</t>
  </si>
  <si>
    <t>rate</t>
  </si>
  <si>
    <t>Updated to 0.6370 (was 0.6500). AUD weakened sharply on Liberation Day tariff shock (April 2026) as iron ore futures fell ~12% and risk-off USD demand surged. Chinese growth outlook deteriorated — a major AUD headwind given ~35% of exports. Current levels are below OECD PPP fair value (~0.68–0.72), implying the AUD is cheap.</t>
  </si>
  <si>
    <t>RBA daily rates; Refinitiv FX spot (project date); Bloomberg AUD pricing</t>
  </si>
  <si>
    <t>−1.3 cents vs prior (0.6500 → 0.6370)</t>
  </si>
  <si>
    <t>AUD/USD 10Y target (PPP-anchored)</t>
  </si>
  <si>
    <t>Revised slightly to 0.70 (was 0.71). Bull case for AUD: (i) critical-minerals supercycle improves terms of trade — lithium, copper, cobalt export revenues rise as AI hardware and energy transition demand spikes; (ii) deep undervaluation relative to OECD PPP (0.68–0.72 range) provides reversion support; (iii) diversification away from USD in global reserves is a slow structural tailwind. Bear case: (i) USD stays structurally stronger as US AI investment requires capital inflows priced in USD; (ii) China slowdown structurally reduces commodity demand; (iii) geopolitical fragmentation compresses global trade growth — hurts small, open commodity exporters like Australia. Net: 0.70, skewed slightly to the downside vs prior. AU CPI exceeds US CPI by ~−10 bps p.a., so PPP drifts marginally down over the horizon.</t>
  </si>
  <si>
    <t>OECD PPP database; IMF REER; Refinitiv LR FX consensus; RBA ToT analysis; critical minerals export research</t>
  </si>
  <si>
    <t>−1 cent vs prior (0.7100 → 0.7000)</t>
  </si>
  <si>
    <t>Implied AUD appreciation vs USD (annualised)</t>
  </si>
  <si>
    <t>Geometric annualised drift from spot to 10Y target. Drives FX contribution for unhedged global assets.</t>
  </si>
  <si>
    <t>Derived</t>
  </si>
  <si>
    <t>FX drag on USD assets for AUD investor (annualised)</t>
  </si>
  <si>
    <t>Mirror of AUD appreciation — an AUD investor in USD assets loses ~this amount annually from currency.</t>
  </si>
  <si>
    <t>FX drag on global ACWI ex-Aus basket (AUD investor)</t>
  </si>
  <si>
    <t>MSCI ACWI ex-Aus: ~62% USD, ~12% EUR, ~6% JPY, ~3% GBP, balance DM/EM. AUD typically appreciates less vs EUR/JPY; blended drag slightly smaller. Revised to −0.65% (was −0.70%) as USD dominance in AI-related capex partially reduces EUR/JPY weights in effective basket.</t>
  </si>
  <si>
    <t>MSCI ACWI ex-Aus FX composition; Refinitiv</t>
  </si>
  <si>
    <t>AUD-USD hedge return contribution (AU cash − US cash)</t>
  </si>
  <si>
    <t>Positive carry for AUD investor hedging USD exposure. Narrowed to ~15 bps (was 25 bps) as Fed rate revised up by more than RBA. Monitor for inversion risk.</t>
  </si>
  <si>
    <t>Covered interest parity; revised rate differential</t>
  </si>
  <si>
    <t>5. Thematic &amp; Structural Risk Overlay  (NEW — informational; feeds qualitative valuation drift adjustments in Asset Class tab)</t>
  </si>
  <si>
    <t>AI Productivity Premium (US economy, p.a.)</t>
  </si>
  <si>
    <t>Conservative adoption scenario. Historical IT productivity analogues (Brynjolfsson, Baily-Montalbano) suggest +0.3–0.5% TFP uplift once diffusion &gt;30% of firms. AI adoption in US financial services, healthcare, logistics, and professional services already exceeding 30% by 2026. Manufacturing and education adoption trails. We adopt lower-bound +0.30%. Feeds into higher US real GDP (row 12) and supports US EPS growth premium for global equity forecasts.</t>
  </si>
  <si>
    <t>McKinsey Global Institute (2024); Brynjolfsson et al. AI productivity research; NBER Working Paper 31161; Goldman Sachs Global Investment Research AI impact study</t>
  </si>
  <si>
    <t>+0.30% p.a. — NEW assumption</t>
  </si>
  <si>
    <t>AI Productivity Premium (Australia, p.a.)</t>
  </si>
  <si>
    <t>Australia's AI adoption lags US by ~2–3 years (smaller software/tech sector as % GDP, regulatory caution, skills gap). Critical uplift: mining automation, financial services back-office, healthcare admin. Construction and resources dominate AU capex — lower AI intensity. Net productivity premium: +0.10% p.a., back-half weighted (materialises 2028–2033 in forecast window).</t>
  </si>
  <si>
    <t>CSIRO AI Roadmap; Productivity Commission Digital Economy paper; RBA research on productivity</t>
  </si>
  <si>
    <t>+0.10% p.a. — NEW assumption</t>
  </si>
  <si>
    <t>Supply Chain Reshoring — Goods Inflation Premium (US)</t>
  </si>
  <si>
    <t>Broad tariff regime (April 2026) has triggered accelerated reshoring across semiconductors, pharmaceuticals, EVs, and consumer electronics. Domestic manufacturing unit costs carry a 20–35% premium over prior Asian supply chains. Pass-through to CPI: ~+0.20% p.a. persistent (firms rebuild margin after cost shock). This is the primary driver of our US CPI revision. Partially absorbed by AI-driven manufacturing efficiency (robotics, process automation).</t>
  </si>
  <si>
    <t>Federal Reserve Bank of NY supply chain research; BIS Working Paper on reshoring costs; JPMorgan tariff pass-through modelling</t>
  </si>
  <si>
    <t>+0.20% p.a. goods inflation — feeds US CPI row 8</t>
  </si>
  <si>
    <t>Geopolitical Risk Premium on Commodity/Energy Prices</t>
  </si>
  <si>
    <t>Russia-Ukraine war, Middle East tensions, Taiwan Strait risk and increasing sanctions regimes add a structural risk premium to energy and commodity prices. Shipping disruption (Red Sea, Strait of Hormuz) raises freight costs ~15–20% above pre-2020 norms. We embed +10 bps as a persistent macro overlay on both AU and US inflation — not a spike scenario, but a floor. This risk is asymmetric to the upside (escalation scenario = +30–50 bps CPI).</t>
  </si>
  <si>
    <t>IEA energy security reports; RAND geopolitical risk studies; Baltic Exchange shipping indices</t>
  </si>
  <si>
    <t>+10 bps CPI overlay — embedded in rows 7 &amp; 8</t>
  </si>
  <si>
    <t>Global Trade Volume Drag (tariff &amp; de-globalisation)</t>
  </si>
  <si>
    <t>IMF estimates broad 25–30% US tariffs reduce global trade volumes by 3–5%. De-globalisation trend (friend-shoring, supply-chain regionalisation) reduces trade multiplier efficiency. Impact on global GDP: −0.2% drag on the 10Y average (front-loaded, diminishing as new supply chains establish). Mechanically reduces export revenue for AUD (iron ore, LNG, agriculture) and global EPS growth assumptions in the asset class tab.</t>
  </si>
  <si>
    <t>IMF World Economic Outlook (Apr 2026); WTO trade outlook; OECD trade policy simulations</t>
  </si>
  <si>
    <t>−0.20% global GDP drag — feeds global equity valuation drift</t>
  </si>
  <si>
    <t>Critical Minerals Cycle — AU Terms of Trade Boost</t>
  </si>
  <si>
    <t>AI hardware build-out (NVIDIA GPUs, data centre power infrastructure) and energy transition (EVs, grid storage) creates a decade-long demand super-cycle for lithium, cobalt, copper, nickel, and rare earths — all significant Australian export categories. With supply constrained (long lead times, permitting, geopolitical concentration risks), we embed +15 bps AU ToT uplift p.a., partially offsetting iron ore softness from China slowdown. Supports AUD at higher levels vs USD through the window.</t>
  </si>
  <si>
    <t>Geoscience Australia critical minerals outlook; IEA critical minerals report (2025); S&amp;P Global Market Intelligence commodity forecasts</t>
  </si>
  <si>
    <t>+15 bps AU GDP tailwind — NEW, partially offsets iron ore drag</t>
  </si>
  <si>
    <t>AI Energy Demand — Impact on AU Electricity CPI</t>
  </si>
  <si>
    <t>Global data centre power consumption is projected to grow 10–15% p.a. through 2030. Australia is attracting significant hyperscaler investment (Microsoft, Google, AWS) given political stability, renewable energy potential, and proximity to APAC. Near-term: baseload power demand exceeds renewable supply growth, pushing electricity prices higher (+8–12% p.a. for commercial). CPI direct weight: electricity ~2.3% of basket; adds ~+15 bps to headline AU CPI. Medium-term (2029+): large-scale renewables + battery storage bring prices back. Net 10Y average: +15 bps. Embedded in AU CPI row 7.</t>
  </si>
  <si>
    <t>AEMO ISP (2024); IEA Data Centres &amp; AI electricity demand (2026); ABS CPI basket weights</t>
  </si>
  <si>
    <t>+15 bps AU CPI — embedded in row 7</t>
  </si>
  <si>
    <t>NOTES:  All values are 10-year geometric averages.  BLUE = hardcoded input.  GREEN = formula.  YELLOW highlight = changed from prior CMA.  Section 5 factors are informational — they feed qualitatively into asset-class rationale and quantitatively into revised CPI/GDP rows above.  AI Acknowledgement: Claude (claude-sonnet-4-6) assisted in structuring this overlay; all judgements and numbers remain those of the WaterNSW Treasury Team.</t>
  </si>
  <si>
    <t>NSWDF 10-Year Asset Class Forecasts — Building Block Decomposition</t>
  </si>
  <si>
    <t>All returns are gross of fees, in AUD, annualised over 10 years from 2 April 2026. Apply asset class costs (IM Table 3A) and trust-level fees (IM Table 4A) when rolling up to STI/MTG/LTG.</t>
  </si>
  <si>
    <t>Asset Class</t>
  </si>
  <si>
    <t>Proxy Index (IM)</t>
  </si>
  <si>
    <t>Starting
Yield</t>
  </si>
  <si>
    <t>Real /
Growth</t>
  </si>
  <si>
    <t>Term
Premium</t>
  </si>
  <si>
    <t>Credit
Spread</t>
  </si>
  <si>
    <t>Default
Losses</t>
  </si>
  <si>
    <t>Valuation
Drift</t>
  </si>
  <si>
    <t>Illiquidity /
Leverage</t>
  </si>
  <si>
    <t>FX
Contribution</t>
  </si>
  <si>
    <t>Hedge
Return</t>
  </si>
  <si>
    <t>Forecast
Return (10Y)</t>
  </si>
  <si>
    <t>Forecast
Risk (vol)</t>
  </si>
  <si>
    <t>Notes / Rationale</t>
  </si>
  <si>
    <t>Cash</t>
  </si>
  <si>
    <t>Bloomberg AusBond Bank Bill Index</t>
  </si>
  <si>
    <t>Set equal to expected RBA cash rate (≈ neutral) over 10Y. Bank-bill spread ~5–10 bps over OCR; immaterial for a 10Y forecast.</t>
  </si>
  <si>
    <t>Australian short duration bond</t>
  </si>
  <si>
    <t>Bloomberg AusBond Credit 0–3 Year Index</t>
  </si>
  <si>
    <t>Cash + short term premium (~30 bps for 0–3y bullet) + investment-grade credit spread (~55 bps blended) − low default losses (high IG quality, short tenor).</t>
  </si>
  <si>
    <t>Australian fixed income</t>
  </si>
  <si>
    <t>Bloomberg AusBond Composite 0+ Index</t>
  </si>
  <si>
    <t>Cash + term premium (~75 bps for ~6y duration) + semi-government / IG corp spread (~30 bps blended). Aligns with current 5–10Y AGB yields ~4.0–4.4%.</t>
  </si>
  <si>
    <t>Global fixed income (Hedged)</t>
  </si>
  <si>
    <t>Bloomberg Global Aggregate (hedged AUD)</t>
  </si>
  <si>
    <t>USD cash + term premium (~80 bps for ~7y duration of Global Agg) + securitised/IG sleeve (~20 bps) + AUD-USD hedge return (positive AU-US carry). Currency fully hedged.</t>
  </si>
  <si>
    <t>Global Credit (Hedged)</t>
  </si>
  <si>
    <t>Bloomberg Global Credit Index (hedged AUD)</t>
  </si>
  <si>
    <t>USD cash + term premium + IG corporate spread ~120 bps (currently inside long-run avg, modest reversion priced) − default losses ~20 bps + AUD hedge return.</t>
  </si>
  <si>
    <t>Australian listed equity</t>
  </si>
  <si>
    <t>S&amp;P/ASX 300 Total Return Index</t>
  </si>
  <si>
    <t>ASX dividend yield ~3.8% (excl. franking) + EPS growth anchored to AU nominal GDP (4.5%) − modest valuation headwind (PE re-rating from ~17x to LT avg ~15.5x). Franking credits add ~+0.7% if grossed up — excluded here for conservatism.</t>
  </si>
  <si>
    <t>Global listed equity (Unhedged)</t>
  </si>
  <si>
    <t>MSCI ACWI ex-Australia (unhedged AUD)</t>
  </si>
  <si>
    <t>Div yield ~1.7% + EPS growth ~5.0% (US 5.5% + Europe 4% + EM 6% blended) − valuation drag (US Shiller PE elevated, partly offset by cheaper non-US) + AUD appreciation drag on global FX basket.</t>
  </si>
  <si>
    <t>Global listed equity (Hedged)</t>
  </si>
  <si>
    <t>MSCI ACWI ex-Australia (100% hedged AUD)</t>
  </si>
  <si>
    <t>Same local-currency equity build as unhedged, but currency hedged — replaces FX drag with positive hedge return (AU cash − global cash differential). Slightly higher vol than unhedged as USD diversification benefit removed.</t>
  </si>
  <si>
    <t>Australian listed property</t>
  </si>
  <si>
    <t>S&amp;P/ASX 300 A-REIT Index</t>
  </si>
  <si>
    <t>Distribution yield ~5.0% + DPS growth aligned to AU CPI (~2.5% rental escalators) − cap rate normalisation drag as bond yields stay structurally higher than 2010s average.</t>
  </si>
  <si>
    <t>Global Infrastructure unlisted (Unhedged)</t>
  </si>
  <si>
    <t>FTSE Global Core Infrastructure Index</t>
  </si>
  <si>
    <t>Income yield ~3.5% (regulated utilities, transport) + cash flow growth ~4.5% (CPI-linked escalators + volume) − small valuation headwind + FX drag (~70% USD basket). FTSE Core Infra is listed proxy — true unlisted infra would be ~+50 bps return, lower vol.</t>
  </si>
  <si>
    <t>Global Private Equity</t>
  </si>
  <si>
    <t>LPX50 Listed Private Equity Index</t>
  </si>
  <si>
    <t>Listed-PE wrapper of global buyout exposure: yield ~1.5%, NAV growth ~6.5% (operating + leverage), small valuation drag, illiquidity/leverage premium ~+1.5% over public equity, FX drag (mostly USD/EUR). High vol due to listed wrapper + leverage.</t>
  </si>
  <si>
    <t>Notes:</t>
  </si>
  <si>
    <t>• Building-block convention: total return = starting income yield + cash-flow growth + (term/credit/illiquidity premia) + valuation drift + FX/hedge contribution.</t>
  </si>
  <si>
    <t>• Empty cells indicate the component is not relevant for that asset class (e.g. growth for fixed income, term premium for equity).</t>
  </si>
  <si>
    <t>• Returns are gross of fees. Apply IM Table 3A asset class costs and IM Table 4A trust-level fees when computing unit-trust net returns.</t>
  </si>
  <si>
    <t>• Forecast risk is annualised standard deviation of total return in AUD, calibrated to long-run history adjusted for forward-looking regime (higher rates, higher dispersion).</t>
  </si>
  <si>
    <t>• Cells in BLUE = hardcoded assumptions; GREEN = links to Macro Assumptions sheet; BLACK = derived formulas.</t>
  </si>
  <si>
    <t>Unit Trust Roll-Up (gross of trust fees)</t>
  </si>
  <si>
    <t>Component / Asset Class</t>
  </si>
  <si>
    <t>STI weight</t>
  </si>
  <si>
    <t>MTG weight</t>
  </si>
  <si>
    <t>LTG weight</t>
  </si>
  <si>
    <t>Asset Return</t>
  </si>
  <si>
    <t>STI contrib</t>
  </si>
  <si>
    <t>MTG contrib</t>
  </si>
  <si>
    <t>LTG contrib</t>
  </si>
  <si>
    <t>Weighted gross return</t>
  </si>
  <si>
    <t>Less: trust ongoing cost (IM Table 4A)</t>
  </si>
  <si>
    <t>Less: weighted asset class cost (IM Table 3A)</t>
  </si>
  <si>
    <t>Net expected return (10Y, p.a.)</t>
  </si>
  <si>
    <t>Forecast risk (vol p.a.) — placeholder; replace with Refinitiv historical vol</t>
  </si>
  <si>
    <t>STI / MTG / LTG forecast volatility (placeholder)</t>
  </si>
  <si>
    <t>Trust-level vols above are placeholders consistent with diversified multi-asset behaviour assuming typical 0.4–0.6 cross-asset correlation. Replace with Refinitiv-derived historical vol of each unit trust's index-weighted return series before final submission.</t>
  </si>
  <si>
    <t>NSWDF 10Y Capital Market Assumptions — Methodology &amp; Sources</t>
  </si>
  <si>
    <t>1. Methodology overview</t>
  </si>
  <si>
    <t>Topic</t>
  </si>
  <si>
    <t>Description</t>
  </si>
  <si>
    <t>Notes</t>
  </si>
  <si>
    <t>Approach</t>
  </si>
  <si>
    <t>Building-block (CMA) framework, aligned with institutional practice (J.P. Morgan LTCMA, BlackRock CMA, Vanguard VCMM).</t>
  </si>
  <si>
    <t>Horizon</t>
  </si>
  <si>
    <t>10 years from 2 April 2026 — matches NSWDF rolling 10-year measurement horizon and Board CPI+2.5% return target.</t>
  </si>
  <si>
    <t>Currency</t>
  </si>
  <si>
    <t>All returns expressed in AUD. Hedged exposures convert local currency returns at hedge return = AU cash − foreign cash differential.</t>
  </si>
  <si>
    <t>Gross / Net basis</t>
  </si>
  <si>
    <t>Asset-class returns are GROSS of fees. Trust-level rollups apply IM Table 3A asset-class costs and IM Table 4A ongoing trust costs.</t>
  </si>
  <si>
    <t>Why building-block, not pure historical?</t>
  </si>
  <si>
    <t>10Y forward returns differ materially from history because (a) starting yields are higher than 2010s averages, (b) equity valuations are above LT, (c) AUD is below PPP. A building-block approach disentangles starting conditions from steady-state assumptions.</t>
  </si>
  <si>
    <t>Geometric vs arithmetic</t>
  </si>
  <si>
    <t>Forecast returns are presented as geometric (compound) annualised returns over 10 years. Vol is annualised standard deviation of 1-year returns.</t>
  </si>
  <si>
    <t>2. Building-block formula</t>
  </si>
  <si>
    <t>Asset class</t>
  </si>
  <si>
    <t>Formula</t>
  </si>
  <si>
    <t>Key parameters</t>
  </si>
  <si>
    <t>Avg expected RBA cash rate over 10Y (≈ neutral nominal rate)</t>
  </si>
  <si>
    <t>Aus short-duration bond</t>
  </si>
  <si>
    <t>Cash + term premium + IG credit spread − default losses</t>
  </si>
  <si>
    <t>Term premium ~30 bps (0–3y); IG spread ~55 bps; defaults ~5 bps</t>
  </si>
  <si>
    <t>Aus fixed income</t>
  </si>
  <si>
    <t>Cash + term premium (~6y dur) + semi-gov / IG sleeve − default losses</t>
  </si>
  <si>
    <t>Term ~75 bps; spread ~30 bps</t>
  </si>
  <si>
    <t>Global FI hedged</t>
  </si>
  <si>
    <t>US cash + term premium + IG sleeve − default + AUD-USD hedge return</t>
  </si>
  <si>
    <t>Hedge return = AU cash − US cash</t>
  </si>
  <si>
    <t>Global Credit hedged</t>
  </si>
  <si>
    <t>US cash + term premium + IG corp spread − default losses + hedge return</t>
  </si>
  <si>
    <t>IG spread ~120 bps; defaults ~20 bps</t>
  </si>
  <si>
    <t>Dividend yield + nominal EPS growth + valuation drift</t>
  </si>
  <si>
    <t>EPS growth ≈ AU nominal GDP; valuation = LT PE / current PE</t>
  </si>
  <si>
    <t>Global eq unhedged</t>
  </si>
  <si>
    <t>Div yield + nominal EPS growth + valuation drift + FX contribution</t>
  </si>
  <si>
    <t>FX = AUD appreciation against weighted ACWI ex-Aus basket (negative for unhedged AUD investor)</t>
  </si>
  <si>
    <t>Global eq hedged</t>
  </si>
  <si>
    <t>Div yield + nominal EPS growth + valuation drift + hedge return</t>
  </si>
  <si>
    <t>Replaces FX with hedge return</t>
  </si>
  <si>
    <t>Aus listed property</t>
  </si>
  <si>
    <t>Distribution yield + DPS growth + cap-rate drift</t>
  </si>
  <si>
    <t>DPS growth ≈ AU CPI (rental escalators)</t>
  </si>
  <si>
    <t>Global infra unhedged</t>
  </si>
  <si>
    <t>Income yield + cash flow growth + valuation drift + FX</t>
  </si>
  <si>
    <t>Growth ≈ CPI + volume; FX drag ~80 bps</t>
  </si>
  <si>
    <t>Listed equity build + illiquidity/leverage premium + FX</t>
  </si>
  <si>
    <t>Illiquidity premium ~150 bps (conservative)</t>
  </si>
  <si>
    <t>3. Data sources</t>
  </si>
  <si>
    <t>Source</t>
  </si>
  <si>
    <t>URL / reference</t>
  </si>
  <si>
    <t>Macro / inflation</t>
  </si>
  <si>
    <t>RBA Statement on Monetary Policy (Feb / May 2026 editions)</t>
  </si>
  <si>
    <t>https://www.rba.gov.au/publications/smp/</t>
  </si>
  <si>
    <t>Australian Bureau of Statistics CPI series 6401.0</t>
  </si>
  <si>
    <t>https://www.abs.gov.au/statistics/economy/price-indexes-and-inflation</t>
  </si>
  <si>
    <t>Federal Reserve Summary of Economic Projections (latest FOMC)</t>
  </si>
  <si>
    <t>https://www.federalreserve.gov/monetarypolicy/fomccalendars.htm</t>
  </si>
  <si>
    <t>BLS CPI series</t>
  </si>
  <si>
    <t>https://www.bls.gov/cpi/</t>
  </si>
  <si>
    <t>Real growth</t>
  </si>
  <si>
    <t>Australian Treasury Intergenerational Report 2023</t>
  </si>
  <si>
    <t>https://treasury.gov.au/publication/2023-intergenerational-report</t>
  </si>
  <si>
    <t>CBO Long-Term Budget Outlook (latest)</t>
  </si>
  <si>
    <t>https://www.cbo.gov/topics/budget</t>
  </si>
  <si>
    <t>IMF World Economic Outlook (Apr 2026)</t>
  </si>
  <si>
    <t>https://www.imf.org/en/Publications/WEO</t>
  </si>
  <si>
    <t>Neutral rates</t>
  </si>
  <si>
    <t>RBA Bulletin: 'Estimating the Neutral Rate' (most recent)</t>
  </si>
  <si>
    <t>https://www.rba.gov.au/publications/bulletin/</t>
  </si>
  <si>
    <t>FRBNY r-star estimates (Holston-Laubach-Williams)</t>
  </si>
  <si>
    <t>https://www.newyorkfed.org/research/policy/rstar</t>
  </si>
  <si>
    <t>FX / PPP</t>
  </si>
  <si>
    <t>OECD Purchasing Power Parities</t>
  </si>
  <si>
    <t>https://data.oecd.org/conversion/purchasing-power-parities-ppp.htm</t>
  </si>
  <si>
    <t>IMF Real Effective Exchange Rate database</t>
  </si>
  <si>
    <t>https://data.imf.org/</t>
  </si>
  <si>
    <t>Refinitiv consensus long-run AUD/USD forecasts</t>
  </si>
  <si>
    <t>Refinitiv Eikon FX strategist polls</t>
  </si>
  <si>
    <t>Bond yields</t>
  </si>
  <si>
    <t>RBA F-series rate tables; Bloomberg AusBond index data</t>
  </si>
  <si>
    <t>https://www.rba.gov.au/statistics/tables/</t>
  </si>
  <si>
    <t>Bloomberg Global Aggregate / Global Credit index data</t>
  </si>
  <si>
    <t>Refinitiv / Bloomberg terminal</t>
  </si>
  <si>
    <t>Equity valuations</t>
  </si>
  <si>
    <t>Refinitiv I/B/E/S consensus forecasts; ASX200/300 index data</t>
  </si>
  <si>
    <t>Refinitiv Eikon</t>
  </si>
  <si>
    <t>MSCI ACWI / ACWI ex-Aus index data</t>
  </si>
  <si>
    <t>MSCI</t>
  </si>
  <si>
    <t>Property</t>
  </si>
  <si>
    <t>S&amp;P/ASX 300 A-REIT index data</t>
  </si>
  <si>
    <t>S&amp;P Dow Jones Indices</t>
  </si>
  <si>
    <t>Infrastructure</t>
  </si>
  <si>
    <t>FTSE Russell</t>
  </si>
  <si>
    <t>Private Equity</t>
  </si>
  <si>
    <t>LPX Group LPX50 Listed PE Index</t>
  </si>
  <si>
    <t>https://www.lpx-group.com/</t>
  </si>
  <si>
    <t>Benchmark CMAs (cross-check)</t>
  </si>
  <si>
    <t>J.P. Morgan Long-Term Capital Market Assumptions 2026</t>
  </si>
  <si>
    <t>https://am.jpmorgan.com/au/en/asset-management/institutional/insights/portfolio-insights/ltcma/</t>
  </si>
  <si>
    <t>BlackRock Capital Market Assumptions</t>
  </si>
  <si>
    <t>https://www.blackrock.com/institutions/en-us/insights/charts/capital-market-assumptions</t>
  </si>
  <si>
    <t>Vanguard Capital Markets Model (VCMM)</t>
  </si>
  <si>
    <t>https://corporate.vanguard.com/content/corporatesite/us/en/corp/research-and-commentary.html</t>
  </si>
  <si>
    <t>4. Limitations and caveats</t>
  </si>
  <si>
    <t>Limitation</t>
  </si>
  <si>
    <t>Refinitiv data not loaded</t>
  </si>
  <si>
    <t>Project brief specifies 'all modelling must use Refinitiv data from the provided portfolios'. Forecast inputs here are anchored to publicly available benchmarks; cross-check against Refinitiv historical series before final submission and replace placeholder vol numbers.</t>
  </si>
  <si>
    <t>Listed proxies for unlisted</t>
  </si>
  <si>
    <t>Global Infrastructure (FTSE Core Infra) and Global PE (LPX50) use listed proxies per IM Table 3A. True unlisted infra/PE returns are typically 50–150 bps higher with materially lower vol (smoothed valuations); IM mandates these proxies, so we do not adjust.</t>
  </si>
  <si>
    <t>Currency assumptions</t>
  </si>
  <si>
    <t>AUD/USD 10Y endpoint is judgement-based and sensitive to terms of trade, USD reserve status, and rate differentials. Sensitivity: ±5 cents on the endpoint shifts unhedged global equity return by ~±70 bps p.a.</t>
  </si>
  <si>
    <t>Equity valuation drift</t>
  </si>
  <si>
    <t>We assume modest -50 bps p.a. global valuation drag and -50 bps for ASX. If P/E multiples stay rich for the full horizon, returns would be ~50 bps higher; mean reversion to deeper LT averages would reduce returns by ~50–100 bps.</t>
  </si>
  <si>
    <t>Correlation regime</t>
  </si>
  <si>
    <t>Forecast vols assume historical-like correlation regime. A persistent positive stock-bond correlation (as in 2022) would raise multi-asset trust vol above placeholder levels.</t>
  </si>
  <si>
    <t>Franking credits</t>
  </si>
  <si>
    <t>ASX equity forecast excludes franking. Grossing up adds ~+70 bps for a tax-paying domestic investor; for NSWDF (state government) treatment depends on entity classification — confirm with CFO.</t>
  </si>
  <si>
    <t>Macro path vs average</t>
  </si>
  <si>
    <t>Returns are 10Y averages. Realised path could be front- or back-loaded; the brief's CPI+2.5% target is a rolling 10Y measure so path-dependence within the window matters less than endpoint.</t>
  </si>
  <si>
    <t>5. AI Acknowledgement</t>
  </si>
  <si>
    <t>Anthropic Claude (claude-opus-4-7) was used to assist with structuring the building-block framework and drafting the workbook. All forecast assumptions, ranges, and final numbers were selected by the WaterNSW Treasury Team and cross-checked against published institutional CMAs. AI was not used to fabricate data; all values are anchored to documented sources listed in Section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</si>
</sst>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%;\(0.00%\);\-"/>
    <numFmt numFmtId="166" formatCode="0.0%;\(0.0%\);\-"/>
  </numFmts>
  <fonts count="2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i/>
      <sz val="8"/>
      <color rgb="FF595959"/>
      <name val="Arial"/>
      <family val="2"/>
    </font>
    <font>
      <b/>
      <sz val="10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9"/>
      <color rgb="FFC00000"/>
      <name val="Arial"/>
      <family val="2"/>
    </font>
    <font>
      <i/>
      <sz val="9"/>
      <color rgb="FF595959"/>
      <name val="Arial"/>
      <family val="2"/>
    </font>
    <font>
      <sz val="10"/>
      <color rgb="FF008000"/>
      <name val="Arial"/>
      <family val="2"/>
    </font>
    <font>
      <sz val="9"/>
      <color rgb="FFC00000"/>
      <name val="Arial"/>
      <family val="2"/>
    </font>
    <font>
      <i/>
      <sz val="9"/>
      <color rgb="FF375623"/>
      <name val="Arial"/>
      <family val="2"/>
    </font>
    <font>
      <b/>
      <sz val="14"/>
      <color rgb="FF1F3864"/>
      <name val="Calibri"/>
      <family val="2"/>
      <charset val="1"/>
    </font>
    <font>
      <i/>
      <sz val="10"/>
      <color rgb="FF595959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1"/>
      <color rgb="FF1F3864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F2F2F2"/>
        <bgColor rgb="FFEEF4FB"/>
      </patternFill>
    </fill>
    <fill>
      <patternFill patternType="solid">
        <fgColor rgb="FFD6E4F7"/>
        <bgColor rgb="FFD9E1F2"/>
      </patternFill>
    </fill>
    <fill>
      <patternFill patternType="solid">
        <fgColor rgb="FFEEF4FB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F0F7EE"/>
        <bgColor rgb="FFF2F2F2"/>
      </patternFill>
    </fill>
    <fill>
      <patternFill patternType="solid">
        <fgColor rgb="FFD9E1F2"/>
        <bgColor rgb="FFD6E4F7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5" fillId="0" borderId="0" xfId="0" applyFont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/>
    <xf numFmtId="0" fontId="14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10" fontId="7" fillId="7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0" fontId="11" fillId="6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10" fontId="7" fillId="6" borderId="1" xfId="0" applyNumberFormat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10" fontId="7" fillId="9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165" fontId="18" fillId="0" borderId="3" xfId="0" applyNumberFormat="1" applyFont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 wrapText="1"/>
    </xf>
    <xf numFmtId="165" fontId="19" fillId="7" borderId="3" xfId="0" applyNumberFormat="1" applyFont="1" applyFill="1" applyBorder="1" applyAlignment="1">
      <alignment horizontal="center" vertical="center" wrapText="1"/>
    </xf>
    <xf numFmtId="166" fontId="20" fillId="0" borderId="3" xfId="0" applyNumberFormat="1" applyFont="1" applyBorder="1" applyAlignment="1">
      <alignment horizontal="center" vertical="center" wrapText="1"/>
    </xf>
    <xf numFmtId="165" fontId="20" fillId="0" borderId="3" xfId="0" applyNumberFormat="1" applyFont="1" applyBorder="1" applyAlignment="1">
      <alignment horizontal="center" vertical="center" wrapText="1"/>
    </xf>
    <xf numFmtId="0" fontId="21" fillId="0" borderId="0" xfId="0" applyFont="1"/>
    <xf numFmtId="0" fontId="21" fillId="10" borderId="0" xfId="0" applyFont="1" applyFill="1"/>
    <xf numFmtId="0" fontId="0" fillId="10" borderId="0" xfId="0" applyFill="1"/>
    <xf numFmtId="166" fontId="18" fillId="0" borderId="3" xfId="0" applyNumberFormat="1" applyFont="1" applyBorder="1" applyAlignment="1">
      <alignment horizontal="center" vertical="center" wrapText="1"/>
    </xf>
    <xf numFmtId="166" fontId="22" fillId="0" borderId="3" xfId="0" applyNumberFormat="1" applyFont="1" applyBorder="1" applyAlignment="1">
      <alignment horizontal="center" vertical="center" wrapText="1"/>
    </xf>
    <xf numFmtId="0" fontId="19" fillId="7" borderId="0" xfId="0" applyFont="1" applyFill="1" applyAlignment="1">
      <alignment horizontal="left" vertical="center" wrapText="1"/>
    </xf>
    <xf numFmtId="166" fontId="19" fillId="7" borderId="3" xfId="0" applyNumberFormat="1" applyFont="1" applyFill="1" applyBorder="1" applyAlignment="1">
      <alignment horizontal="center" vertical="center" wrapText="1"/>
    </xf>
    <xf numFmtId="0" fontId="0" fillId="7" borderId="3" xfId="0" applyFill="1" applyBorder="1"/>
    <xf numFmtId="0" fontId="0" fillId="0" borderId="3" xfId="0" applyBorder="1" applyAlignment="1">
      <alignment horizontal="center" vertical="center" wrapText="1"/>
    </xf>
    <xf numFmtId="0" fontId="19" fillId="7" borderId="3" xfId="0" applyFont="1" applyFill="1" applyBorder="1" applyAlignment="1">
      <alignment horizontal="left" vertical="center" wrapText="1"/>
    </xf>
    <xf numFmtId="0" fontId="21" fillId="10" borderId="0" xfId="0" applyFont="1" applyFill="1" applyAlignment="1">
      <alignment horizontal="left" vertical="center" wrapText="1"/>
    </xf>
    <xf numFmtId="0" fontId="23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top" wrapText="1"/>
    </xf>
    <xf numFmtId="0" fontId="23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4FB"/>
      <rgbColor rgb="FF660066"/>
      <rgbColor rgb="FFFF8080"/>
      <rgbColor rgb="FF2E5FA3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EE"/>
      <rgbColor rgb="FFD6E4F7"/>
      <rgbColor rgb="FFF2F2F2"/>
      <rgbColor rgb="FFD9E1F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="89" zoomScaleNormal="140" workbookViewId="0">
      <pane ySplit="4" topLeftCell="A5" activePane="bottomLeft" state="frozen"/>
      <selection pane="bottomLeft" activeCell="E27" sqref="E27"/>
    </sheetView>
  </sheetViews>
  <sheetFormatPr baseColWidth="10" defaultColWidth="8.6640625" defaultRowHeight="15" x14ac:dyDescent="0.2"/>
  <cols>
    <col min="1" max="1" width="44" customWidth="1"/>
    <col min="2" max="2" width="14" customWidth="1"/>
    <col min="3" max="3" width="8" customWidth="1"/>
    <col min="4" max="4" width="72" customWidth="1"/>
    <col min="5" max="5" width="44" customWidth="1"/>
    <col min="6" max="6" width="28" customWidth="1"/>
  </cols>
  <sheetData>
    <row r="1" spans="1:6" ht="24" customHeight="1" x14ac:dyDescent="0.2">
      <c r="A1" s="9" t="s">
        <v>0</v>
      </c>
      <c r="B1" s="9"/>
      <c r="C1" s="9"/>
      <c r="D1" s="9"/>
      <c r="E1" s="9"/>
      <c r="F1" s="9"/>
    </row>
    <row r="2" spans="1:6" x14ac:dyDescent="0.2">
      <c r="A2" s="8" t="s">
        <v>1</v>
      </c>
      <c r="B2" s="8"/>
      <c r="C2" s="8"/>
      <c r="D2" s="8"/>
      <c r="E2" s="8"/>
      <c r="F2" s="8"/>
    </row>
    <row r="4" spans="1:6" ht="28" x14ac:dyDescent="0.2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</row>
    <row r="5" spans="1:6" x14ac:dyDescent="0.2">
      <c r="A5" s="7" t="s">
        <v>8</v>
      </c>
      <c r="B5" s="7"/>
      <c r="C5" s="7"/>
      <c r="D5" s="7"/>
      <c r="E5" s="7"/>
      <c r="F5" s="7"/>
    </row>
    <row r="6" spans="1:6" x14ac:dyDescent="0.2">
      <c r="A6" s="6" t="s">
        <v>9</v>
      </c>
      <c r="B6" s="6"/>
      <c r="C6" s="6"/>
      <c r="D6" s="6"/>
      <c r="E6" s="6"/>
      <c r="F6" s="6"/>
    </row>
    <row r="7" spans="1:6" ht="140" x14ac:dyDescent="0.2">
      <c r="A7" s="14" t="s">
        <v>10</v>
      </c>
      <c r="B7" s="15">
        <v>2.5999999999999999E-2</v>
      </c>
      <c r="C7" s="16" t="s">
        <v>11</v>
      </c>
      <c r="D7" s="17" t="s">
        <v>12</v>
      </c>
      <c r="E7" s="17" t="s">
        <v>13</v>
      </c>
      <c r="F7" s="18" t="s">
        <v>14</v>
      </c>
    </row>
    <row r="8" spans="1:6" ht="168" x14ac:dyDescent="0.2">
      <c r="A8" s="19" t="s">
        <v>15</v>
      </c>
      <c r="B8" s="15">
        <v>2.7E-2</v>
      </c>
      <c r="C8" s="20" t="s">
        <v>11</v>
      </c>
      <c r="D8" s="21" t="s">
        <v>16</v>
      </c>
      <c r="E8" s="21" t="s">
        <v>17</v>
      </c>
      <c r="F8" s="18" t="s">
        <v>18</v>
      </c>
    </row>
    <row r="9" spans="1:6" x14ac:dyDescent="0.2">
      <c r="A9" s="5" t="s">
        <v>19</v>
      </c>
      <c r="B9" s="5"/>
      <c r="C9" s="5"/>
      <c r="D9" s="5"/>
      <c r="E9" s="5"/>
      <c r="F9" s="5"/>
    </row>
    <row r="10" spans="1:6" x14ac:dyDescent="0.2">
      <c r="A10" s="6" t="s">
        <v>20</v>
      </c>
      <c r="B10" s="6"/>
      <c r="C10" s="6"/>
      <c r="D10" s="6"/>
      <c r="E10" s="6"/>
      <c r="F10" s="6"/>
    </row>
    <row r="11" spans="1:6" ht="126" x14ac:dyDescent="0.2">
      <c r="A11" s="14" t="s">
        <v>21</v>
      </c>
      <c r="B11" s="15">
        <v>2.1000000000000001E-2</v>
      </c>
      <c r="C11" s="16" t="s">
        <v>11</v>
      </c>
      <c r="D11" s="17" t="s">
        <v>22</v>
      </c>
      <c r="E11" s="17" t="s">
        <v>23</v>
      </c>
      <c r="F11" s="18" t="s">
        <v>24</v>
      </c>
    </row>
    <row r="12" spans="1:6" ht="154" x14ac:dyDescent="0.2">
      <c r="A12" s="19" t="s">
        <v>25</v>
      </c>
      <c r="B12" s="15">
        <v>2.1000000000000001E-2</v>
      </c>
      <c r="C12" s="20" t="s">
        <v>11</v>
      </c>
      <c r="D12" s="21" t="s">
        <v>26</v>
      </c>
      <c r="E12" s="21" t="s">
        <v>27</v>
      </c>
      <c r="F12" s="18" t="s">
        <v>28</v>
      </c>
    </row>
    <row r="13" spans="1:6" ht="28" x14ac:dyDescent="0.2">
      <c r="A13" s="17" t="s">
        <v>29</v>
      </c>
      <c r="B13" s="22">
        <f>'Macro Assumptions'!$B$7+'Macro Assumptions'!$B$11</f>
        <v>4.7E-2</v>
      </c>
      <c r="C13" s="16" t="s">
        <v>11</v>
      </c>
      <c r="D13" s="17" t="s">
        <v>30</v>
      </c>
      <c r="E13" s="23" t="s">
        <v>31</v>
      </c>
      <c r="F13" s="24" t="s">
        <v>32</v>
      </c>
    </row>
    <row r="14" spans="1:6" x14ac:dyDescent="0.2">
      <c r="A14" s="21" t="s">
        <v>33</v>
      </c>
      <c r="B14" s="25">
        <f>'Macro Assumptions'!$B$8+'Macro Assumptions'!$B$12</f>
        <v>4.8000000000000001E-2</v>
      </c>
      <c r="C14" s="20" t="s">
        <v>11</v>
      </c>
      <c r="D14" s="21" t="s">
        <v>34</v>
      </c>
      <c r="E14" s="26" t="s">
        <v>35</v>
      </c>
      <c r="F14" s="27" t="s">
        <v>36</v>
      </c>
    </row>
    <row r="15" spans="1:6" x14ac:dyDescent="0.2">
      <c r="A15" s="6" t="s">
        <v>37</v>
      </c>
      <c r="B15" s="6"/>
      <c r="C15" s="6"/>
      <c r="D15" s="6"/>
      <c r="E15" s="6"/>
      <c r="F15" s="6"/>
    </row>
    <row r="16" spans="1:6" ht="112" x14ac:dyDescent="0.2">
      <c r="A16" s="14" t="s">
        <v>38</v>
      </c>
      <c r="B16" s="15">
        <v>3.3500000000000002E-2</v>
      </c>
      <c r="C16" s="16" t="s">
        <v>11</v>
      </c>
      <c r="D16" s="17" t="s">
        <v>39</v>
      </c>
      <c r="E16" s="17" t="s">
        <v>40</v>
      </c>
      <c r="F16" s="18" t="s">
        <v>41</v>
      </c>
    </row>
    <row r="17" spans="1:6" ht="98" x14ac:dyDescent="0.2">
      <c r="A17" s="19" t="s">
        <v>42</v>
      </c>
      <c r="B17" s="15">
        <v>3.2000000000000001E-2</v>
      </c>
      <c r="C17" s="20" t="s">
        <v>11</v>
      </c>
      <c r="D17" s="21" t="s">
        <v>43</v>
      </c>
      <c r="E17" s="21" t="s">
        <v>44</v>
      </c>
      <c r="F17" s="18" t="s">
        <v>45</v>
      </c>
    </row>
    <row r="18" spans="1:6" x14ac:dyDescent="0.2">
      <c r="A18" s="6" t="s">
        <v>46</v>
      </c>
      <c r="B18" s="6"/>
      <c r="C18" s="6"/>
      <c r="D18" s="6"/>
      <c r="E18" s="6"/>
      <c r="F18" s="6"/>
    </row>
    <row r="19" spans="1:6" ht="56" x14ac:dyDescent="0.2">
      <c r="A19" s="14" t="s">
        <v>47</v>
      </c>
      <c r="B19" s="28">
        <v>0.63700000000000001</v>
      </c>
      <c r="C19" s="16" t="s">
        <v>48</v>
      </c>
      <c r="D19" s="17" t="s">
        <v>49</v>
      </c>
      <c r="E19" s="17" t="s">
        <v>50</v>
      </c>
      <c r="F19" s="18" t="s">
        <v>51</v>
      </c>
    </row>
    <row r="20" spans="1:6" ht="140" x14ac:dyDescent="0.2">
      <c r="A20" s="19" t="s">
        <v>52</v>
      </c>
      <c r="B20" s="29">
        <v>0.7</v>
      </c>
      <c r="C20" s="20" t="s">
        <v>48</v>
      </c>
      <c r="D20" s="21" t="s">
        <v>53</v>
      </c>
      <c r="E20" s="21" t="s">
        <v>54</v>
      </c>
      <c r="F20" s="30" t="s">
        <v>55</v>
      </c>
    </row>
    <row r="21" spans="1:6" ht="28" x14ac:dyDescent="0.2">
      <c r="A21" s="14" t="s">
        <v>56</v>
      </c>
      <c r="B21" s="22">
        <f>('Macro Assumptions'!$B$20/'Macro Assumptions'!$B$19)^(1/10)-1</f>
        <v>9.4756806064828503E-3</v>
      </c>
      <c r="C21" s="16" t="s">
        <v>11</v>
      </c>
      <c r="D21" s="17" t="s">
        <v>57</v>
      </c>
      <c r="E21" s="23" t="s">
        <v>58</v>
      </c>
      <c r="F21" s="16"/>
    </row>
    <row r="22" spans="1:6" ht="28" x14ac:dyDescent="0.2">
      <c r="A22" s="19" t="s">
        <v>59</v>
      </c>
      <c r="B22" s="25">
        <f>-('Macro Assumptions'!$B$21)</f>
        <v>-9.4756806064828503E-3</v>
      </c>
      <c r="C22" s="20" t="s">
        <v>11</v>
      </c>
      <c r="D22" s="21" t="s">
        <v>60</v>
      </c>
      <c r="E22" s="26" t="s">
        <v>58</v>
      </c>
      <c r="F22" s="20"/>
    </row>
    <row r="23" spans="1:6" ht="56" x14ac:dyDescent="0.2">
      <c r="A23" s="31" t="s">
        <v>61</v>
      </c>
      <c r="B23" s="15">
        <v>-6.4999999999999997E-3</v>
      </c>
      <c r="C23" s="32" t="s">
        <v>11</v>
      </c>
      <c r="D23" s="33" t="s">
        <v>62</v>
      </c>
      <c r="E23" s="34" t="s">
        <v>63</v>
      </c>
      <c r="F23" s="32"/>
    </row>
    <row r="24" spans="1:6" ht="28" x14ac:dyDescent="0.2">
      <c r="A24" s="19" t="s">
        <v>64</v>
      </c>
      <c r="B24" s="25">
        <f>'Macro Assumptions'!$B$16-'Macro Assumptions'!$B$17</f>
        <v>1.5000000000000013E-3</v>
      </c>
      <c r="C24" s="20" t="s">
        <v>11</v>
      </c>
      <c r="D24" s="21" t="s">
        <v>65</v>
      </c>
      <c r="E24" s="26" t="s">
        <v>66</v>
      </c>
      <c r="F24" s="20"/>
    </row>
    <row r="25" spans="1:6" x14ac:dyDescent="0.2">
      <c r="A25" s="4" t="s">
        <v>67</v>
      </c>
      <c r="B25" s="4"/>
      <c r="C25" s="4"/>
      <c r="D25" s="4"/>
      <c r="E25" s="4"/>
      <c r="F25" s="4"/>
    </row>
    <row r="26" spans="1:6" ht="84" x14ac:dyDescent="0.2">
      <c r="A26" s="14" t="s">
        <v>68</v>
      </c>
      <c r="B26" s="35">
        <v>3.0000000000000001E-3</v>
      </c>
      <c r="C26" s="16" t="s">
        <v>11</v>
      </c>
      <c r="D26" s="17" t="s">
        <v>69</v>
      </c>
      <c r="E26" s="17" t="s">
        <v>70</v>
      </c>
      <c r="F26" s="36" t="s">
        <v>71</v>
      </c>
    </row>
    <row r="27" spans="1:6" ht="70" x14ac:dyDescent="0.2">
      <c r="A27" s="37" t="s">
        <v>72</v>
      </c>
      <c r="B27" s="38">
        <v>1E-3</v>
      </c>
      <c r="C27" s="39" t="s">
        <v>11</v>
      </c>
      <c r="D27" s="40" t="s">
        <v>73</v>
      </c>
      <c r="E27" s="40" t="s">
        <v>74</v>
      </c>
      <c r="F27" s="41" t="s">
        <v>75</v>
      </c>
    </row>
    <row r="28" spans="1:6" ht="84" x14ac:dyDescent="0.2">
      <c r="A28" s="14" t="s">
        <v>76</v>
      </c>
      <c r="B28" s="35">
        <v>2E-3</v>
      </c>
      <c r="C28" s="16" t="s">
        <v>11</v>
      </c>
      <c r="D28" s="17" t="s">
        <v>77</v>
      </c>
      <c r="E28" s="17" t="s">
        <v>78</v>
      </c>
      <c r="F28" s="36" t="s">
        <v>79</v>
      </c>
    </row>
    <row r="29" spans="1:6" ht="84" x14ac:dyDescent="0.2">
      <c r="A29" s="37" t="s">
        <v>80</v>
      </c>
      <c r="B29" s="38">
        <v>1E-3</v>
      </c>
      <c r="C29" s="39" t="s">
        <v>11</v>
      </c>
      <c r="D29" s="40" t="s">
        <v>81</v>
      </c>
      <c r="E29" s="40" t="s">
        <v>82</v>
      </c>
      <c r="F29" s="41" t="s">
        <v>83</v>
      </c>
    </row>
    <row r="30" spans="1:6" ht="84" x14ac:dyDescent="0.2">
      <c r="A30" s="14" t="s">
        <v>84</v>
      </c>
      <c r="B30" s="35">
        <v>-2E-3</v>
      </c>
      <c r="C30" s="16" t="s">
        <v>11</v>
      </c>
      <c r="D30" s="17" t="s">
        <v>85</v>
      </c>
      <c r="E30" s="17" t="s">
        <v>86</v>
      </c>
      <c r="F30" s="36" t="s">
        <v>87</v>
      </c>
    </row>
    <row r="31" spans="1:6" ht="84" x14ac:dyDescent="0.2">
      <c r="A31" s="37" t="s">
        <v>88</v>
      </c>
      <c r="B31" s="38">
        <v>1.5E-3</v>
      </c>
      <c r="C31" s="39" t="s">
        <v>11</v>
      </c>
      <c r="D31" s="40" t="s">
        <v>89</v>
      </c>
      <c r="E31" s="40" t="s">
        <v>90</v>
      </c>
      <c r="F31" s="41" t="s">
        <v>91</v>
      </c>
    </row>
    <row r="32" spans="1:6" ht="98" x14ac:dyDescent="0.2">
      <c r="A32" s="14" t="s">
        <v>92</v>
      </c>
      <c r="B32" s="35">
        <v>1.5E-3</v>
      </c>
      <c r="C32" s="16" t="s">
        <v>11</v>
      </c>
      <c r="D32" s="17" t="s">
        <v>93</v>
      </c>
      <c r="E32" s="17" t="s">
        <v>94</v>
      </c>
      <c r="F32" s="36" t="s">
        <v>95</v>
      </c>
    </row>
    <row r="34" spans="1:6" x14ac:dyDescent="0.2">
      <c r="A34" s="3" t="s">
        <v>96</v>
      </c>
      <c r="B34" s="3"/>
      <c r="C34" s="3"/>
      <c r="D34" s="3"/>
      <c r="E34" s="3"/>
      <c r="F34" s="3"/>
    </row>
  </sheetData>
  <mergeCells count="10">
    <mergeCell ref="A10:F10"/>
    <mergeCell ref="A15:F15"/>
    <mergeCell ref="A18:F18"/>
    <mergeCell ref="A25:F25"/>
    <mergeCell ref="A34:F34"/>
    <mergeCell ref="A1:F1"/>
    <mergeCell ref="A2:F2"/>
    <mergeCell ref="A5:F5"/>
    <mergeCell ref="A6:F6"/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6"/>
  <sheetViews>
    <sheetView zoomScale="125" zoomScaleNormal="12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N8" sqref="N8"/>
    </sheetView>
  </sheetViews>
  <sheetFormatPr baseColWidth="10" defaultColWidth="8.6640625" defaultRowHeight="15" x14ac:dyDescent="0.2"/>
  <cols>
    <col min="1" max="1" width="34" customWidth="1"/>
    <col min="2" max="2" width="36" customWidth="1"/>
    <col min="3" max="8" width="9" customWidth="1"/>
    <col min="9" max="10" width="11" customWidth="1"/>
    <col min="11" max="11" width="9" customWidth="1"/>
    <col min="12" max="12" width="13" customWidth="1"/>
    <col min="13" max="13" width="11" customWidth="1"/>
    <col min="14" max="14" width="60" customWidth="1"/>
  </cols>
  <sheetData>
    <row r="1" spans="1:14" ht="17.25" customHeight="1" x14ac:dyDescent="0.25">
      <c r="A1" s="12" t="s">
        <v>97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5" customHeight="1" x14ac:dyDescent="0.2">
      <c r="A2" s="11" t="s">
        <v>98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ht="31.5" customHeight="1" x14ac:dyDescent="0.2">
      <c r="A4" s="42" t="s">
        <v>99</v>
      </c>
      <c r="B4" s="42" t="s">
        <v>100</v>
      </c>
      <c r="C4" s="42" t="s">
        <v>101</v>
      </c>
      <c r="D4" s="42" t="s">
        <v>102</v>
      </c>
      <c r="E4" s="42" t="s">
        <v>103</v>
      </c>
      <c r="F4" s="42" t="s">
        <v>104</v>
      </c>
      <c r="G4" s="42" t="s">
        <v>105</v>
      </c>
      <c r="H4" s="42" t="s">
        <v>106</v>
      </c>
      <c r="I4" s="42" t="s">
        <v>107</v>
      </c>
      <c r="J4" s="42" t="s">
        <v>108</v>
      </c>
      <c r="K4" s="42" t="s">
        <v>109</v>
      </c>
      <c r="L4" s="42" t="s">
        <v>110</v>
      </c>
      <c r="M4" s="42" t="s">
        <v>111</v>
      </c>
      <c r="N4" s="42" t="s">
        <v>112</v>
      </c>
    </row>
    <row r="5" spans="1:14" ht="60" customHeight="1" x14ac:dyDescent="0.2">
      <c r="A5" s="43" t="s">
        <v>113</v>
      </c>
      <c r="B5" s="43" t="s">
        <v>114</v>
      </c>
      <c r="C5" s="44">
        <f>'Macro Assumptions'!$B$16</f>
        <v>3.3500000000000002E-2</v>
      </c>
      <c r="D5" s="45"/>
      <c r="E5" s="45"/>
      <c r="F5" s="45"/>
      <c r="G5" s="45"/>
      <c r="H5" s="45"/>
      <c r="I5" s="45"/>
      <c r="J5" s="45"/>
      <c r="K5" s="45"/>
      <c r="L5" s="46">
        <f t="shared" ref="L5:L15" si="0">IF(ISBLANK(C5),0,C5)+IF(ISBLANK(D5),0,D5)+IF(ISBLANK(E5),0,E5)+IF(ISBLANK(F5),0,F5)+IF(ISBLANK(G5),0,G5)+IF(ISBLANK(H5),0,H5)+IF(ISBLANK(I5),0,I5)+IF(ISBLANK(J5),0,J5)+IF(ISBLANK(K5),0,K5)</f>
        <v>3.3500000000000002E-2</v>
      </c>
      <c r="M5" s="47">
        <v>5.0000000000000001E-3</v>
      </c>
      <c r="N5" s="43" t="s">
        <v>115</v>
      </c>
    </row>
    <row r="6" spans="1:14" ht="60" customHeight="1" x14ac:dyDescent="0.2">
      <c r="A6" s="43" t="s">
        <v>116</v>
      </c>
      <c r="B6" s="43" t="s">
        <v>117</v>
      </c>
      <c r="C6" s="44">
        <f>'Macro Assumptions'!$B$16</f>
        <v>3.3500000000000002E-2</v>
      </c>
      <c r="D6" s="45"/>
      <c r="E6" s="48">
        <v>3.0000000000000001E-3</v>
      </c>
      <c r="F6" s="48">
        <v>5.4999999999999997E-3</v>
      </c>
      <c r="G6" s="48">
        <v>-5.0000000000000001E-4</v>
      </c>
      <c r="H6" s="45"/>
      <c r="I6" s="45"/>
      <c r="J6" s="45"/>
      <c r="K6" s="45"/>
      <c r="L6" s="46">
        <f t="shared" si="0"/>
        <v>4.1500000000000002E-2</v>
      </c>
      <c r="M6" s="47">
        <v>1.4999999999999999E-2</v>
      </c>
      <c r="N6" s="43" t="s">
        <v>118</v>
      </c>
    </row>
    <row r="7" spans="1:14" ht="60" customHeight="1" x14ac:dyDescent="0.2">
      <c r="A7" s="43" t="s">
        <v>119</v>
      </c>
      <c r="B7" s="43" t="s">
        <v>120</v>
      </c>
      <c r="C7" s="44">
        <f>'Macro Assumptions'!$B$16</f>
        <v>3.3500000000000002E-2</v>
      </c>
      <c r="D7" s="45"/>
      <c r="E7" s="48">
        <v>7.4999999999999997E-3</v>
      </c>
      <c r="F7" s="48">
        <v>3.0000000000000001E-3</v>
      </c>
      <c r="G7" s="48">
        <v>-5.0000000000000001E-4</v>
      </c>
      <c r="H7" s="45"/>
      <c r="I7" s="45"/>
      <c r="J7" s="45"/>
      <c r="K7" s="45"/>
      <c r="L7" s="46">
        <f t="shared" si="0"/>
        <v>4.3500000000000004E-2</v>
      </c>
      <c r="M7" s="47">
        <v>0.05</v>
      </c>
      <c r="N7" s="43" t="s">
        <v>121</v>
      </c>
    </row>
    <row r="8" spans="1:14" ht="60" customHeight="1" x14ac:dyDescent="0.2">
      <c r="A8" s="43" t="s">
        <v>122</v>
      </c>
      <c r="B8" s="43" t="s">
        <v>123</v>
      </c>
      <c r="C8" s="44">
        <f>'Macro Assumptions'!$B$17</f>
        <v>3.2000000000000001E-2</v>
      </c>
      <c r="D8" s="45"/>
      <c r="E8" s="48">
        <v>8.0000000000000002E-3</v>
      </c>
      <c r="F8" s="48">
        <v>2E-3</v>
      </c>
      <c r="G8" s="48">
        <v>-5.0000000000000001E-4</v>
      </c>
      <c r="H8" s="45"/>
      <c r="I8" s="45"/>
      <c r="J8" s="45"/>
      <c r="K8" s="44">
        <f>'Macro Assumptions'!$B$25</f>
        <v>0</v>
      </c>
      <c r="L8" s="46">
        <f t="shared" si="0"/>
        <v>4.1500000000000002E-2</v>
      </c>
      <c r="M8" s="47">
        <v>0.05</v>
      </c>
      <c r="N8" s="43" t="s">
        <v>124</v>
      </c>
    </row>
    <row r="9" spans="1:14" ht="60" customHeight="1" x14ac:dyDescent="0.2">
      <c r="A9" s="43" t="s">
        <v>125</v>
      </c>
      <c r="B9" s="43" t="s">
        <v>126</v>
      </c>
      <c r="C9" s="44">
        <f>'Macro Assumptions'!$B$17</f>
        <v>3.2000000000000001E-2</v>
      </c>
      <c r="D9" s="45"/>
      <c r="E9" s="48">
        <v>8.0000000000000002E-3</v>
      </c>
      <c r="F9" s="48">
        <v>1.2E-2</v>
      </c>
      <c r="G9" s="48">
        <v>-2E-3</v>
      </c>
      <c r="H9" s="45"/>
      <c r="I9" s="45"/>
      <c r="J9" s="45"/>
      <c r="K9" s="44">
        <f>'Macro Assumptions'!$B$25</f>
        <v>0</v>
      </c>
      <c r="L9" s="46">
        <f t="shared" si="0"/>
        <v>0.05</v>
      </c>
      <c r="M9" s="47">
        <v>7.0000000000000007E-2</v>
      </c>
      <c r="N9" s="43" t="s">
        <v>127</v>
      </c>
    </row>
    <row r="10" spans="1:14" ht="60" customHeight="1" x14ac:dyDescent="0.2">
      <c r="A10" s="43" t="s">
        <v>128</v>
      </c>
      <c r="B10" s="43" t="s">
        <v>129</v>
      </c>
      <c r="C10" s="48">
        <v>3.7999999999999999E-2</v>
      </c>
      <c r="D10" s="44">
        <f>'Macro Assumptions'!$B$12</f>
        <v>2.1000000000000001E-2</v>
      </c>
      <c r="E10" s="45"/>
      <c r="F10" s="45"/>
      <c r="G10" s="45"/>
      <c r="H10" s="48">
        <v>-5.0000000000000001E-3</v>
      </c>
      <c r="I10" s="45"/>
      <c r="J10" s="45"/>
      <c r="K10" s="45"/>
      <c r="L10" s="46">
        <f t="shared" si="0"/>
        <v>5.3999999999999999E-2</v>
      </c>
      <c r="M10" s="47">
        <v>0.14499999999999999</v>
      </c>
      <c r="N10" s="43" t="s">
        <v>130</v>
      </c>
    </row>
    <row r="11" spans="1:14" ht="60" customHeight="1" x14ac:dyDescent="0.2">
      <c r="A11" s="43" t="s">
        <v>131</v>
      </c>
      <c r="B11" s="43" t="s">
        <v>132</v>
      </c>
      <c r="C11" s="48">
        <v>1.7000000000000001E-2</v>
      </c>
      <c r="D11" s="48">
        <v>0.05</v>
      </c>
      <c r="E11" s="45"/>
      <c r="F11" s="45"/>
      <c r="G11" s="45"/>
      <c r="H11" s="48">
        <v>-5.0000000000000001E-3</v>
      </c>
      <c r="I11" s="45"/>
      <c r="J11" s="44">
        <f>'Macro Assumptions'!$B$24</f>
        <v>1.5000000000000013E-3</v>
      </c>
      <c r="K11" s="45"/>
      <c r="L11" s="46">
        <f t="shared" si="0"/>
        <v>6.3500000000000001E-2</v>
      </c>
      <c r="M11" s="47">
        <v>0.13500000000000001</v>
      </c>
      <c r="N11" s="43" t="s">
        <v>133</v>
      </c>
    </row>
    <row r="12" spans="1:14" ht="60" customHeight="1" x14ac:dyDescent="0.2">
      <c r="A12" s="43" t="s">
        <v>134</v>
      </c>
      <c r="B12" s="43" t="s">
        <v>135</v>
      </c>
      <c r="C12" s="48">
        <v>1.7000000000000001E-2</v>
      </c>
      <c r="D12" s="48">
        <v>0.05</v>
      </c>
      <c r="E12" s="45"/>
      <c r="F12" s="45"/>
      <c r="G12" s="45"/>
      <c r="H12" s="48">
        <v>-5.0000000000000001E-3</v>
      </c>
      <c r="I12" s="45"/>
      <c r="J12" s="45"/>
      <c r="K12" s="44">
        <f>'Macro Assumptions'!$B$25</f>
        <v>0</v>
      </c>
      <c r="L12" s="46">
        <f t="shared" si="0"/>
        <v>6.2000000000000006E-2</v>
      </c>
      <c r="M12" s="47">
        <v>0.14499999999999999</v>
      </c>
      <c r="N12" s="43" t="s">
        <v>136</v>
      </c>
    </row>
    <row r="13" spans="1:14" ht="60" customHeight="1" x14ac:dyDescent="0.2">
      <c r="A13" s="43" t="s">
        <v>137</v>
      </c>
      <c r="B13" s="43" t="s">
        <v>138</v>
      </c>
      <c r="C13" s="48">
        <v>0.05</v>
      </c>
      <c r="D13" s="48">
        <v>2.5000000000000001E-2</v>
      </c>
      <c r="E13" s="45"/>
      <c r="F13" s="45"/>
      <c r="G13" s="45"/>
      <c r="H13" s="48">
        <v>-7.0000000000000001E-3</v>
      </c>
      <c r="I13" s="45"/>
      <c r="J13" s="45"/>
      <c r="K13" s="45"/>
      <c r="L13" s="46">
        <f t="shared" si="0"/>
        <v>6.8000000000000005E-2</v>
      </c>
      <c r="M13" s="47">
        <v>0.17</v>
      </c>
      <c r="N13" s="43" t="s">
        <v>139</v>
      </c>
    </row>
    <row r="14" spans="1:14" ht="60" customHeight="1" x14ac:dyDescent="0.2">
      <c r="A14" s="43" t="s">
        <v>140</v>
      </c>
      <c r="B14" s="43" t="s">
        <v>141</v>
      </c>
      <c r="C14" s="48">
        <v>3.5000000000000003E-2</v>
      </c>
      <c r="D14" s="48">
        <v>4.4999999999999998E-2</v>
      </c>
      <c r="E14" s="45"/>
      <c r="F14" s="45"/>
      <c r="G14" s="45"/>
      <c r="H14" s="48">
        <v>-3.0000000000000001E-3</v>
      </c>
      <c r="I14" s="45"/>
      <c r="J14" s="48">
        <v>-8.0000000000000002E-3</v>
      </c>
      <c r="K14" s="45"/>
      <c r="L14" s="46">
        <f t="shared" si="0"/>
        <v>6.9000000000000006E-2</v>
      </c>
      <c r="M14" s="47">
        <v>0.13</v>
      </c>
      <c r="N14" s="43" t="s">
        <v>142</v>
      </c>
    </row>
    <row r="15" spans="1:14" ht="60" customHeight="1" x14ac:dyDescent="0.2">
      <c r="A15" s="43" t="s">
        <v>143</v>
      </c>
      <c r="B15" s="43" t="s">
        <v>144</v>
      </c>
      <c r="C15" s="48">
        <v>1.4999999999999999E-2</v>
      </c>
      <c r="D15" s="48">
        <v>6.5000000000000002E-2</v>
      </c>
      <c r="E15" s="45"/>
      <c r="F15" s="45"/>
      <c r="G15" s="45"/>
      <c r="H15" s="48">
        <v>-5.0000000000000001E-3</v>
      </c>
      <c r="I15" s="48">
        <v>1.4999999999999999E-2</v>
      </c>
      <c r="J15" s="48">
        <v>-8.0000000000000002E-3</v>
      </c>
      <c r="K15" s="45"/>
      <c r="L15" s="46">
        <f t="shared" si="0"/>
        <v>8.199999999999999E-2</v>
      </c>
      <c r="M15" s="47">
        <v>0.25</v>
      </c>
      <c r="N15" s="43" t="s">
        <v>145</v>
      </c>
    </row>
    <row r="17" spans="1:14" ht="15" customHeight="1" x14ac:dyDescent="0.2">
      <c r="A17" s="49" t="s">
        <v>146</v>
      </c>
    </row>
    <row r="18" spans="1:14" ht="15" customHeight="1" x14ac:dyDescent="0.2">
      <c r="A18" s="10" t="s">
        <v>147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 x14ac:dyDescent="0.2">
      <c r="A19" s="10" t="s">
        <v>148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 x14ac:dyDescent="0.2">
      <c r="A20" s="10" t="s">
        <v>149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 x14ac:dyDescent="0.2">
      <c r="A21" s="10" t="s">
        <v>150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 x14ac:dyDescent="0.2">
      <c r="A22" s="10" t="s">
        <v>151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5" spans="1:14" ht="15" customHeight="1" x14ac:dyDescent="0.2">
      <c r="A25" s="50" t="s">
        <v>152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</row>
    <row r="26" spans="1:14" ht="31.5" customHeight="1" x14ac:dyDescent="0.2">
      <c r="A26" s="42" t="s">
        <v>153</v>
      </c>
      <c r="B26" s="42" t="s">
        <v>154</v>
      </c>
      <c r="C26" s="42" t="s">
        <v>155</v>
      </c>
      <c r="D26" s="42" t="s">
        <v>156</v>
      </c>
      <c r="E26" s="42" t="s">
        <v>157</v>
      </c>
      <c r="F26" s="42" t="s">
        <v>158</v>
      </c>
      <c r="G26" s="42" t="s">
        <v>159</v>
      </c>
      <c r="H26" s="42" t="s">
        <v>160</v>
      </c>
    </row>
    <row r="27" spans="1:14" ht="15" customHeight="1" x14ac:dyDescent="0.2">
      <c r="A27" s="43" t="s">
        <v>113</v>
      </c>
      <c r="B27" s="47">
        <v>0.5</v>
      </c>
      <c r="C27" s="47">
        <v>7.4999999999999997E-2</v>
      </c>
      <c r="D27" s="47">
        <v>0.05</v>
      </c>
      <c r="E27" s="52">
        <f t="shared" ref="E27:E37" si="1">L5</f>
        <v>3.3500000000000002E-2</v>
      </c>
      <c r="F27" s="53">
        <f t="shared" ref="F27:F37" si="2">B27*E27</f>
        <v>1.6750000000000001E-2</v>
      </c>
      <c r="G27" s="53">
        <f t="shared" ref="G27:G37" si="3">C27*E27</f>
        <v>2.5125E-3</v>
      </c>
      <c r="H27" s="53">
        <f t="shared" ref="H27:H37" si="4">D27*E27</f>
        <v>1.6750000000000003E-3</v>
      </c>
    </row>
    <row r="28" spans="1:14" ht="15" customHeight="1" x14ac:dyDescent="0.2">
      <c r="A28" s="43" t="s">
        <v>116</v>
      </c>
      <c r="B28" s="47">
        <v>0.5</v>
      </c>
      <c r="C28" s="47">
        <v>0</v>
      </c>
      <c r="D28" s="47">
        <v>0</v>
      </c>
      <c r="E28" s="52">
        <f t="shared" si="1"/>
        <v>4.1500000000000002E-2</v>
      </c>
      <c r="F28" s="53">
        <f t="shared" si="2"/>
        <v>2.0750000000000001E-2</v>
      </c>
      <c r="G28" s="53">
        <f t="shared" si="3"/>
        <v>0</v>
      </c>
      <c r="H28" s="53">
        <f t="shared" si="4"/>
        <v>0</v>
      </c>
    </row>
    <row r="29" spans="1:14" ht="15" customHeight="1" x14ac:dyDescent="0.2">
      <c r="A29" s="43" t="s">
        <v>119</v>
      </c>
      <c r="B29" s="47">
        <v>0</v>
      </c>
      <c r="C29" s="47">
        <v>0.15</v>
      </c>
      <c r="D29" s="47">
        <v>0</v>
      </c>
      <c r="E29" s="52">
        <f t="shared" si="1"/>
        <v>4.3500000000000004E-2</v>
      </c>
      <c r="F29" s="53">
        <f t="shared" si="2"/>
        <v>0</v>
      </c>
      <c r="G29" s="53">
        <f t="shared" si="3"/>
        <v>6.5250000000000004E-3</v>
      </c>
      <c r="H29" s="53">
        <f t="shared" si="4"/>
        <v>0</v>
      </c>
    </row>
    <row r="30" spans="1:14" ht="15" customHeight="1" x14ac:dyDescent="0.2">
      <c r="A30" s="43" t="s">
        <v>122</v>
      </c>
      <c r="B30" s="47">
        <v>0</v>
      </c>
      <c r="C30" s="47">
        <v>0.15</v>
      </c>
      <c r="D30" s="47">
        <v>0.05</v>
      </c>
      <c r="E30" s="52">
        <f t="shared" si="1"/>
        <v>4.1500000000000002E-2</v>
      </c>
      <c r="F30" s="53">
        <f t="shared" si="2"/>
        <v>0</v>
      </c>
      <c r="G30" s="53">
        <f t="shared" si="3"/>
        <v>6.2250000000000005E-3</v>
      </c>
      <c r="H30" s="53">
        <f t="shared" si="4"/>
        <v>2.075E-3</v>
      </c>
    </row>
    <row r="31" spans="1:14" ht="15" customHeight="1" x14ac:dyDescent="0.2">
      <c r="A31" s="43" t="s">
        <v>125</v>
      </c>
      <c r="B31" s="47">
        <v>0</v>
      </c>
      <c r="C31" s="47">
        <v>0.125</v>
      </c>
      <c r="D31" s="47">
        <v>0.05</v>
      </c>
      <c r="E31" s="52">
        <f t="shared" si="1"/>
        <v>0.05</v>
      </c>
      <c r="F31" s="53">
        <f t="shared" si="2"/>
        <v>0</v>
      </c>
      <c r="G31" s="53">
        <f t="shared" si="3"/>
        <v>6.2500000000000003E-3</v>
      </c>
      <c r="H31" s="53">
        <f t="shared" si="4"/>
        <v>2.5000000000000005E-3</v>
      </c>
    </row>
    <row r="32" spans="1:14" ht="15" customHeight="1" x14ac:dyDescent="0.2">
      <c r="A32" s="43" t="s">
        <v>128</v>
      </c>
      <c r="B32" s="47">
        <v>0</v>
      </c>
      <c r="C32" s="47">
        <v>0.15</v>
      </c>
      <c r="D32" s="47">
        <v>0.3</v>
      </c>
      <c r="E32" s="52">
        <f t="shared" si="1"/>
        <v>5.3999999999999999E-2</v>
      </c>
      <c r="F32" s="53">
        <f t="shared" si="2"/>
        <v>0</v>
      </c>
      <c r="G32" s="53">
        <f t="shared" si="3"/>
        <v>8.0999999999999996E-3</v>
      </c>
      <c r="H32" s="53">
        <f t="shared" si="4"/>
        <v>1.6199999999999999E-2</v>
      </c>
    </row>
    <row r="33" spans="1:14" ht="15" customHeight="1" x14ac:dyDescent="0.2">
      <c r="A33" s="43" t="s">
        <v>131</v>
      </c>
      <c r="B33" s="47">
        <v>0</v>
      </c>
      <c r="C33" s="47">
        <v>0.15</v>
      </c>
      <c r="D33" s="47">
        <v>0.15</v>
      </c>
      <c r="E33" s="52">
        <f t="shared" si="1"/>
        <v>6.3500000000000001E-2</v>
      </c>
      <c r="F33" s="53">
        <f t="shared" si="2"/>
        <v>0</v>
      </c>
      <c r="G33" s="53">
        <f t="shared" si="3"/>
        <v>9.5250000000000005E-3</v>
      </c>
      <c r="H33" s="53">
        <f t="shared" si="4"/>
        <v>9.5250000000000005E-3</v>
      </c>
    </row>
    <row r="34" spans="1:14" ht="15" customHeight="1" x14ac:dyDescent="0.2">
      <c r="A34" s="43" t="s">
        <v>134</v>
      </c>
      <c r="B34" s="47">
        <v>0</v>
      </c>
      <c r="C34" s="47">
        <v>0.15</v>
      </c>
      <c r="D34" s="47">
        <v>0.15</v>
      </c>
      <c r="E34" s="52">
        <f t="shared" si="1"/>
        <v>6.2000000000000006E-2</v>
      </c>
      <c r="F34" s="53">
        <f t="shared" si="2"/>
        <v>0</v>
      </c>
      <c r="G34" s="53">
        <f t="shared" si="3"/>
        <v>9.300000000000001E-3</v>
      </c>
      <c r="H34" s="53">
        <f t="shared" si="4"/>
        <v>9.300000000000001E-3</v>
      </c>
    </row>
    <row r="35" spans="1:14" ht="15" customHeight="1" x14ac:dyDescent="0.2">
      <c r="A35" s="43" t="s">
        <v>137</v>
      </c>
      <c r="B35" s="47">
        <v>0</v>
      </c>
      <c r="C35" s="47">
        <v>0.05</v>
      </c>
      <c r="D35" s="47">
        <v>0</v>
      </c>
      <c r="E35" s="52">
        <f t="shared" si="1"/>
        <v>6.8000000000000005E-2</v>
      </c>
      <c r="F35" s="53">
        <f t="shared" si="2"/>
        <v>0</v>
      </c>
      <c r="G35" s="53">
        <f t="shared" si="3"/>
        <v>3.4000000000000002E-3</v>
      </c>
      <c r="H35" s="53">
        <f t="shared" si="4"/>
        <v>0</v>
      </c>
    </row>
    <row r="36" spans="1:14" ht="23.25" customHeight="1" x14ac:dyDescent="0.2">
      <c r="A36" s="43" t="s">
        <v>140</v>
      </c>
      <c r="B36" s="47">
        <v>0</v>
      </c>
      <c r="C36" s="47">
        <v>0</v>
      </c>
      <c r="D36" s="47">
        <v>0.1</v>
      </c>
      <c r="E36" s="52">
        <f t="shared" si="1"/>
        <v>6.9000000000000006E-2</v>
      </c>
      <c r="F36" s="53">
        <f t="shared" si="2"/>
        <v>0</v>
      </c>
      <c r="G36" s="53">
        <f t="shared" si="3"/>
        <v>0</v>
      </c>
      <c r="H36" s="53">
        <f t="shared" si="4"/>
        <v>6.9000000000000008E-3</v>
      </c>
    </row>
    <row r="37" spans="1:14" ht="15" customHeight="1" x14ac:dyDescent="0.2">
      <c r="A37" s="43" t="s">
        <v>143</v>
      </c>
      <c r="B37" s="47">
        <v>0</v>
      </c>
      <c r="C37" s="47">
        <v>0</v>
      </c>
      <c r="D37" s="47">
        <v>0.15</v>
      </c>
      <c r="E37" s="52">
        <f t="shared" si="1"/>
        <v>8.199999999999999E-2</v>
      </c>
      <c r="F37" s="53">
        <f t="shared" si="2"/>
        <v>0</v>
      </c>
      <c r="G37" s="53">
        <f t="shared" si="3"/>
        <v>0</v>
      </c>
      <c r="H37" s="53">
        <f t="shared" si="4"/>
        <v>1.2299999999999998E-2</v>
      </c>
    </row>
    <row r="38" spans="1:14" ht="15" customHeight="1" x14ac:dyDescent="0.2">
      <c r="A38" s="54" t="s">
        <v>161</v>
      </c>
      <c r="B38" s="55">
        <f>SUM(B27:B37)</f>
        <v>1</v>
      </c>
      <c r="C38" s="55">
        <f>SUM(C27:C37)</f>
        <v>1</v>
      </c>
      <c r="D38" s="55">
        <f>SUM(D27:D37)</f>
        <v>1</v>
      </c>
      <c r="E38" s="56"/>
      <c r="F38" s="55">
        <f>SUM(F27:F37)</f>
        <v>3.7500000000000006E-2</v>
      </c>
      <c r="G38" s="55">
        <f>SUM(G27:G37)</f>
        <v>5.1837500000000009E-2</v>
      </c>
      <c r="H38" s="55">
        <f>SUM(H27:H37)</f>
        <v>6.0475000000000001E-2</v>
      </c>
    </row>
    <row r="39" spans="1:14" ht="15" customHeight="1" x14ac:dyDescent="0.2">
      <c r="A39" s="43" t="s">
        <v>162</v>
      </c>
      <c r="B39" s="57"/>
      <c r="C39" s="57"/>
      <c r="D39" s="57"/>
      <c r="E39" s="57"/>
      <c r="F39" s="48">
        <v>-1.2600000000000001E-3</v>
      </c>
      <c r="G39" s="48">
        <v>-3.5799999999999998E-3</v>
      </c>
      <c r="H39" s="48">
        <v>-4.8799999999999998E-3</v>
      </c>
    </row>
    <row r="40" spans="1:14" ht="40.5" customHeight="1" x14ac:dyDescent="0.2">
      <c r="A40" s="43" t="s">
        <v>163</v>
      </c>
      <c r="B40" s="57"/>
      <c r="C40" s="57"/>
      <c r="D40" s="57"/>
      <c r="E40" s="57"/>
      <c r="F40" s="48">
        <v>-5.5000000000000003E-4</v>
      </c>
      <c r="G40" s="48">
        <v>-1.6299999999999999E-3</v>
      </c>
      <c r="H40" s="48">
        <v>-2.5500000000000002E-3</v>
      </c>
    </row>
    <row r="41" spans="1:14" ht="15" customHeight="1" x14ac:dyDescent="0.2">
      <c r="A41" s="58" t="s">
        <v>164</v>
      </c>
      <c r="B41" s="56"/>
      <c r="C41" s="56"/>
      <c r="D41" s="56"/>
      <c r="E41" s="56"/>
      <c r="F41" s="55">
        <f>F38+F39+F40</f>
        <v>3.5690000000000006E-2</v>
      </c>
      <c r="G41" s="55">
        <f>G38+G39+G40</f>
        <v>4.6627500000000009E-2</v>
      </c>
      <c r="H41" s="55">
        <f>H38+H39+H40</f>
        <v>5.3044999999999995E-2</v>
      </c>
    </row>
    <row r="43" spans="1:14" ht="31.5" customHeight="1" x14ac:dyDescent="0.2">
      <c r="A43" s="59" t="s">
        <v>165</v>
      </c>
      <c r="B43" s="51"/>
      <c r="C43" s="51"/>
      <c r="D43" s="51"/>
      <c r="E43" s="51"/>
      <c r="F43" s="51"/>
      <c r="G43" s="51"/>
      <c r="H43" s="51"/>
    </row>
    <row r="44" spans="1:14" ht="31.5" customHeight="1" x14ac:dyDescent="0.2">
      <c r="A44" s="43" t="s">
        <v>166</v>
      </c>
      <c r="B44" s="57"/>
      <c r="C44" s="57"/>
      <c r="D44" s="57"/>
      <c r="E44" s="57"/>
      <c r="F44" s="47">
        <v>0.01</v>
      </c>
      <c r="G44" s="47">
        <v>7.4999999999999997E-2</v>
      </c>
      <c r="H44" s="47">
        <v>0.105</v>
      </c>
    </row>
    <row r="46" spans="1:14" ht="30" customHeight="1" x14ac:dyDescent="0.2">
      <c r="A46" s="10" t="s">
        <v>167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</sheetData>
  <mergeCells count="8">
    <mergeCell ref="A21:N21"/>
    <mergeCell ref="A22:N22"/>
    <mergeCell ref="A46:N46"/>
    <mergeCell ref="A1:N1"/>
    <mergeCell ref="A2:N2"/>
    <mergeCell ref="A18:N18"/>
    <mergeCell ref="A19:N19"/>
    <mergeCell ref="A20:N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2"/>
  <sheetViews>
    <sheetView zoomScale="119" zoomScaleNormal="119" workbookViewId="0">
      <pane ySplit="2" topLeftCell="A3" activePane="bottomLeft" state="frozen"/>
      <selection pane="bottomLeft" activeCell="B70" sqref="B70"/>
    </sheetView>
  </sheetViews>
  <sheetFormatPr baseColWidth="10" defaultColWidth="8.6640625" defaultRowHeight="15" x14ac:dyDescent="0.2"/>
  <cols>
    <col min="1" max="1" width="32" customWidth="1"/>
    <col min="2" max="2" width="60" customWidth="1"/>
    <col min="3" max="3" width="50" customWidth="1"/>
  </cols>
  <sheetData>
    <row r="1" spans="1:3" ht="17.25" customHeight="1" x14ac:dyDescent="0.25">
      <c r="A1" s="12" t="s">
        <v>168</v>
      </c>
      <c r="B1" s="12"/>
      <c r="C1" s="12"/>
    </row>
    <row r="3" spans="1:3" ht="15" customHeight="1" x14ac:dyDescent="0.2">
      <c r="A3" s="50" t="s">
        <v>169</v>
      </c>
      <c r="B3" s="51"/>
      <c r="C3" s="51"/>
    </row>
    <row r="4" spans="1:3" ht="15" customHeight="1" x14ac:dyDescent="0.2">
      <c r="A4" s="60" t="s">
        <v>170</v>
      </c>
      <c r="B4" s="60" t="s">
        <v>171</v>
      </c>
      <c r="C4" s="60" t="s">
        <v>172</v>
      </c>
    </row>
    <row r="5" spans="1:3" ht="45" customHeight="1" x14ac:dyDescent="0.2">
      <c r="A5" s="61" t="s">
        <v>173</v>
      </c>
      <c r="B5" s="61" t="s">
        <v>174</v>
      </c>
      <c r="C5" s="61"/>
    </row>
    <row r="6" spans="1:3" ht="45" customHeight="1" x14ac:dyDescent="0.2">
      <c r="A6" s="61" t="s">
        <v>175</v>
      </c>
      <c r="B6" s="61" t="s">
        <v>176</v>
      </c>
      <c r="C6" s="61"/>
    </row>
    <row r="7" spans="1:3" ht="45" customHeight="1" x14ac:dyDescent="0.2">
      <c r="A7" s="61" t="s">
        <v>177</v>
      </c>
      <c r="B7" s="61" t="s">
        <v>178</v>
      </c>
      <c r="C7" s="61"/>
    </row>
    <row r="8" spans="1:3" ht="45" customHeight="1" x14ac:dyDescent="0.2">
      <c r="A8" s="61" t="s">
        <v>179</v>
      </c>
      <c r="B8" s="61" t="s">
        <v>180</v>
      </c>
      <c r="C8" s="61"/>
    </row>
    <row r="9" spans="1:3" ht="45" customHeight="1" x14ac:dyDescent="0.2">
      <c r="A9" s="61" t="s">
        <v>181</v>
      </c>
      <c r="B9" s="61" t="s">
        <v>182</v>
      </c>
      <c r="C9" s="61"/>
    </row>
    <row r="10" spans="1:3" ht="45" customHeight="1" x14ac:dyDescent="0.2">
      <c r="A10" s="61" t="s">
        <v>183</v>
      </c>
      <c r="B10" s="61" t="s">
        <v>184</v>
      </c>
      <c r="C10" s="61"/>
    </row>
    <row r="12" spans="1:3" ht="15" customHeight="1" x14ac:dyDescent="0.2">
      <c r="A12" s="50" t="s">
        <v>185</v>
      </c>
      <c r="B12" s="51"/>
      <c r="C12" s="51"/>
    </row>
    <row r="13" spans="1:3" ht="15" customHeight="1" x14ac:dyDescent="0.2">
      <c r="A13" s="62" t="s">
        <v>186</v>
      </c>
      <c r="B13" s="62" t="s">
        <v>187</v>
      </c>
      <c r="C13" s="62" t="s">
        <v>188</v>
      </c>
    </row>
    <row r="14" spans="1:3" ht="31.5" customHeight="1" x14ac:dyDescent="0.2">
      <c r="A14" s="61" t="s">
        <v>113</v>
      </c>
      <c r="B14" s="61" t="s">
        <v>189</v>
      </c>
      <c r="C14" s="61"/>
    </row>
    <row r="15" spans="1:3" ht="31.5" customHeight="1" x14ac:dyDescent="0.2">
      <c r="A15" s="61" t="s">
        <v>190</v>
      </c>
      <c r="B15" s="61" t="s">
        <v>191</v>
      </c>
      <c r="C15" s="61" t="s">
        <v>192</v>
      </c>
    </row>
    <row r="16" spans="1:3" ht="31.5" customHeight="1" x14ac:dyDescent="0.2">
      <c r="A16" s="61" t="s">
        <v>193</v>
      </c>
      <c r="B16" s="61" t="s">
        <v>194</v>
      </c>
      <c r="C16" s="61" t="s">
        <v>195</v>
      </c>
    </row>
    <row r="17" spans="1:3" ht="31.5" customHeight="1" x14ac:dyDescent="0.2">
      <c r="A17" s="61" t="s">
        <v>196</v>
      </c>
      <c r="B17" s="61" t="s">
        <v>197</v>
      </c>
      <c r="C17" s="61" t="s">
        <v>198</v>
      </c>
    </row>
    <row r="18" spans="1:3" ht="31.5" customHeight="1" x14ac:dyDescent="0.2">
      <c r="A18" s="61" t="s">
        <v>199</v>
      </c>
      <c r="B18" s="61" t="s">
        <v>200</v>
      </c>
      <c r="C18" s="61" t="s">
        <v>201</v>
      </c>
    </row>
    <row r="19" spans="1:3" ht="31.5" customHeight="1" x14ac:dyDescent="0.2">
      <c r="A19" s="61" t="s">
        <v>128</v>
      </c>
      <c r="B19" s="61" t="s">
        <v>202</v>
      </c>
      <c r="C19" s="61" t="s">
        <v>203</v>
      </c>
    </row>
    <row r="20" spans="1:3" ht="31.5" customHeight="1" x14ac:dyDescent="0.2">
      <c r="A20" s="61" t="s">
        <v>204</v>
      </c>
      <c r="B20" s="61" t="s">
        <v>205</v>
      </c>
      <c r="C20" s="61" t="s">
        <v>206</v>
      </c>
    </row>
    <row r="21" spans="1:3" ht="31.5" customHeight="1" x14ac:dyDescent="0.2">
      <c r="A21" s="61" t="s">
        <v>207</v>
      </c>
      <c r="B21" s="61" t="s">
        <v>208</v>
      </c>
      <c r="C21" s="61" t="s">
        <v>209</v>
      </c>
    </row>
    <row r="22" spans="1:3" ht="31.5" customHeight="1" x14ac:dyDescent="0.2">
      <c r="A22" s="61" t="s">
        <v>210</v>
      </c>
      <c r="B22" s="61" t="s">
        <v>211</v>
      </c>
      <c r="C22" s="61" t="s">
        <v>212</v>
      </c>
    </row>
    <row r="23" spans="1:3" ht="31.5" customHeight="1" x14ac:dyDescent="0.2">
      <c r="A23" s="61" t="s">
        <v>213</v>
      </c>
      <c r="B23" s="61" t="s">
        <v>214</v>
      </c>
      <c r="C23" s="61" t="s">
        <v>215</v>
      </c>
    </row>
    <row r="24" spans="1:3" ht="31.5" customHeight="1" x14ac:dyDescent="0.2">
      <c r="A24" s="61" t="s">
        <v>143</v>
      </c>
      <c r="B24" s="61" t="s">
        <v>216</v>
      </c>
      <c r="C24" s="61" t="s">
        <v>217</v>
      </c>
    </row>
    <row r="26" spans="1:3" ht="15" customHeight="1" x14ac:dyDescent="0.2">
      <c r="A26" s="50" t="s">
        <v>218</v>
      </c>
      <c r="B26" s="51"/>
      <c r="C26" s="51"/>
    </row>
    <row r="27" spans="1:3" ht="15" customHeight="1" x14ac:dyDescent="0.2">
      <c r="A27" s="62" t="s">
        <v>170</v>
      </c>
      <c r="B27" s="62" t="s">
        <v>219</v>
      </c>
      <c r="C27" s="62" t="s">
        <v>220</v>
      </c>
    </row>
    <row r="28" spans="1:3" ht="21.75" customHeight="1" x14ac:dyDescent="0.2">
      <c r="A28" s="61" t="s">
        <v>221</v>
      </c>
      <c r="B28" s="61" t="s">
        <v>222</v>
      </c>
      <c r="C28" s="61" t="s">
        <v>223</v>
      </c>
    </row>
    <row r="29" spans="1:3" ht="21.75" customHeight="1" x14ac:dyDescent="0.2">
      <c r="A29" s="61" t="s">
        <v>221</v>
      </c>
      <c r="B29" s="61" t="s">
        <v>224</v>
      </c>
      <c r="C29" s="61" t="s">
        <v>225</v>
      </c>
    </row>
    <row r="30" spans="1:3" ht="21.75" customHeight="1" x14ac:dyDescent="0.2">
      <c r="A30" s="61" t="s">
        <v>221</v>
      </c>
      <c r="B30" s="61" t="s">
        <v>226</v>
      </c>
      <c r="C30" s="61" t="s">
        <v>227</v>
      </c>
    </row>
    <row r="31" spans="1:3" ht="21.75" customHeight="1" x14ac:dyDescent="0.2">
      <c r="A31" s="61" t="s">
        <v>221</v>
      </c>
      <c r="B31" s="61" t="s">
        <v>228</v>
      </c>
      <c r="C31" s="61" t="s">
        <v>229</v>
      </c>
    </row>
    <row r="32" spans="1:3" ht="21.75" customHeight="1" x14ac:dyDescent="0.2">
      <c r="A32" s="61" t="s">
        <v>230</v>
      </c>
      <c r="B32" s="61" t="s">
        <v>231</v>
      </c>
      <c r="C32" s="61" t="s">
        <v>232</v>
      </c>
    </row>
    <row r="33" spans="1:3" ht="21.75" customHeight="1" x14ac:dyDescent="0.2">
      <c r="A33" s="61" t="s">
        <v>230</v>
      </c>
      <c r="B33" s="61" t="s">
        <v>233</v>
      </c>
      <c r="C33" s="61" t="s">
        <v>234</v>
      </c>
    </row>
    <row r="34" spans="1:3" ht="21.75" customHeight="1" x14ac:dyDescent="0.2">
      <c r="A34" s="61" t="s">
        <v>230</v>
      </c>
      <c r="B34" s="61" t="s">
        <v>235</v>
      </c>
      <c r="C34" s="61" t="s">
        <v>236</v>
      </c>
    </row>
    <row r="35" spans="1:3" ht="21.75" customHeight="1" x14ac:dyDescent="0.2">
      <c r="A35" s="61" t="s">
        <v>237</v>
      </c>
      <c r="B35" s="61" t="s">
        <v>238</v>
      </c>
      <c r="C35" s="61" t="s">
        <v>239</v>
      </c>
    </row>
    <row r="36" spans="1:3" ht="21.75" customHeight="1" x14ac:dyDescent="0.2">
      <c r="A36" s="61" t="s">
        <v>237</v>
      </c>
      <c r="B36" s="61" t="s">
        <v>240</v>
      </c>
      <c r="C36" s="61" t="s">
        <v>241</v>
      </c>
    </row>
    <row r="37" spans="1:3" ht="21.75" customHeight="1" x14ac:dyDescent="0.2">
      <c r="A37" s="61" t="s">
        <v>242</v>
      </c>
      <c r="B37" s="61" t="s">
        <v>243</v>
      </c>
      <c r="C37" s="61" t="s">
        <v>244</v>
      </c>
    </row>
    <row r="38" spans="1:3" ht="21.75" customHeight="1" x14ac:dyDescent="0.2">
      <c r="A38" s="61" t="s">
        <v>242</v>
      </c>
      <c r="B38" s="61" t="s">
        <v>245</v>
      </c>
      <c r="C38" s="61" t="s">
        <v>246</v>
      </c>
    </row>
    <row r="39" spans="1:3" ht="21.75" customHeight="1" x14ac:dyDescent="0.2">
      <c r="A39" s="61" t="s">
        <v>242</v>
      </c>
      <c r="B39" s="61" t="s">
        <v>247</v>
      </c>
      <c r="C39" s="61" t="s">
        <v>248</v>
      </c>
    </row>
    <row r="40" spans="1:3" ht="21.75" customHeight="1" x14ac:dyDescent="0.2">
      <c r="A40" s="61" t="s">
        <v>249</v>
      </c>
      <c r="B40" s="61" t="s">
        <v>250</v>
      </c>
      <c r="C40" s="61" t="s">
        <v>251</v>
      </c>
    </row>
    <row r="41" spans="1:3" ht="21.75" customHeight="1" x14ac:dyDescent="0.2">
      <c r="A41" s="61" t="s">
        <v>249</v>
      </c>
      <c r="B41" s="61" t="s">
        <v>252</v>
      </c>
      <c r="C41" s="61" t="s">
        <v>253</v>
      </c>
    </row>
    <row r="42" spans="1:3" ht="21.75" customHeight="1" x14ac:dyDescent="0.2">
      <c r="A42" s="61" t="s">
        <v>254</v>
      </c>
      <c r="B42" s="61" t="s">
        <v>255</v>
      </c>
      <c r="C42" s="61" t="s">
        <v>256</v>
      </c>
    </row>
    <row r="43" spans="1:3" ht="21.75" customHeight="1" x14ac:dyDescent="0.2">
      <c r="A43" s="61" t="s">
        <v>254</v>
      </c>
      <c r="B43" s="61" t="s">
        <v>257</v>
      </c>
      <c r="C43" s="61" t="s">
        <v>258</v>
      </c>
    </row>
    <row r="44" spans="1:3" ht="21.75" customHeight="1" x14ac:dyDescent="0.2">
      <c r="A44" s="61" t="s">
        <v>259</v>
      </c>
      <c r="B44" s="61" t="s">
        <v>260</v>
      </c>
      <c r="C44" s="61" t="s">
        <v>261</v>
      </c>
    </row>
    <row r="45" spans="1:3" ht="21.75" customHeight="1" x14ac:dyDescent="0.2">
      <c r="A45" s="61" t="s">
        <v>262</v>
      </c>
      <c r="B45" s="61" t="s">
        <v>141</v>
      </c>
      <c r="C45" s="61" t="s">
        <v>263</v>
      </c>
    </row>
    <row r="46" spans="1:3" ht="21.75" customHeight="1" x14ac:dyDescent="0.2">
      <c r="A46" s="61" t="s">
        <v>264</v>
      </c>
      <c r="B46" s="61" t="s">
        <v>265</v>
      </c>
      <c r="C46" s="61" t="s">
        <v>266</v>
      </c>
    </row>
    <row r="47" spans="1:3" ht="21.75" customHeight="1" x14ac:dyDescent="0.2">
      <c r="A47" s="61" t="s">
        <v>267</v>
      </c>
      <c r="B47" s="61" t="s">
        <v>268</v>
      </c>
      <c r="C47" s="61" t="s">
        <v>269</v>
      </c>
    </row>
    <row r="48" spans="1:3" ht="21.75" customHeight="1" x14ac:dyDescent="0.2">
      <c r="A48" s="61" t="s">
        <v>267</v>
      </c>
      <c r="B48" s="61" t="s">
        <v>270</v>
      </c>
      <c r="C48" s="61" t="s">
        <v>271</v>
      </c>
    </row>
    <row r="49" spans="1:3" ht="21.75" customHeight="1" x14ac:dyDescent="0.2">
      <c r="A49" s="61" t="s">
        <v>267</v>
      </c>
      <c r="B49" s="61" t="s">
        <v>272</v>
      </c>
      <c r="C49" s="61" t="s">
        <v>273</v>
      </c>
    </row>
    <row r="51" spans="1:3" ht="15" customHeight="1" x14ac:dyDescent="0.2">
      <c r="A51" s="50" t="s">
        <v>274</v>
      </c>
      <c r="B51" s="51"/>
      <c r="C51" s="51"/>
    </row>
    <row r="52" spans="1:3" ht="15" customHeight="1" x14ac:dyDescent="0.2">
      <c r="A52" s="62" t="s">
        <v>275</v>
      </c>
      <c r="B52" s="62" t="s">
        <v>171</v>
      </c>
      <c r="C52" s="62"/>
    </row>
    <row r="53" spans="1:3" ht="49.5" customHeight="1" x14ac:dyDescent="0.2">
      <c r="A53" s="61" t="s">
        <v>276</v>
      </c>
      <c r="B53" s="2" t="s">
        <v>277</v>
      </c>
      <c r="C53" s="2"/>
    </row>
    <row r="54" spans="1:3" ht="49.5" customHeight="1" x14ac:dyDescent="0.2">
      <c r="A54" s="61" t="s">
        <v>278</v>
      </c>
      <c r="B54" s="2" t="s">
        <v>279</v>
      </c>
      <c r="C54" s="2"/>
    </row>
    <row r="55" spans="1:3" ht="49.5" customHeight="1" x14ac:dyDescent="0.2">
      <c r="A55" s="61" t="s">
        <v>280</v>
      </c>
      <c r="B55" s="2" t="s">
        <v>281</v>
      </c>
      <c r="C55" s="2"/>
    </row>
    <row r="56" spans="1:3" ht="49.5" customHeight="1" x14ac:dyDescent="0.2">
      <c r="A56" s="61" t="s">
        <v>282</v>
      </c>
      <c r="B56" s="2" t="s">
        <v>283</v>
      </c>
      <c r="C56" s="2"/>
    </row>
    <row r="57" spans="1:3" ht="49.5" customHeight="1" x14ac:dyDescent="0.2">
      <c r="A57" s="61" t="s">
        <v>284</v>
      </c>
      <c r="B57" s="2" t="s">
        <v>285</v>
      </c>
      <c r="C57" s="2"/>
    </row>
    <row r="58" spans="1:3" ht="49.5" customHeight="1" x14ac:dyDescent="0.2">
      <c r="A58" s="61" t="s">
        <v>286</v>
      </c>
      <c r="B58" s="2" t="s">
        <v>287</v>
      </c>
      <c r="C58" s="2"/>
    </row>
    <row r="59" spans="1:3" ht="49.5" customHeight="1" x14ac:dyDescent="0.2">
      <c r="A59" s="61" t="s">
        <v>288</v>
      </c>
      <c r="B59" s="2" t="s">
        <v>289</v>
      </c>
      <c r="C59" s="2"/>
    </row>
    <row r="61" spans="1:3" ht="15" customHeight="1" x14ac:dyDescent="0.2">
      <c r="A61" s="50" t="s">
        <v>290</v>
      </c>
      <c r="B61" s="51"/>
      <c r="C61" s="51"/>
    </row>
    <row r="62" spans="1:3" ht="60" customHeight="1" x14ac:dyDescent="0.2">
      <c r="A62" s="1" t="s">
        <v>291</v>
      </c>
      <c r="B62" s="1"/>
      <c r="C62" s="1"/>
    </row>
  </sheetData>
  <mergeCells count="9">
    <mergeCell ref="B57:C57"/>
    <mergeCell ref="B58:C58"/>
    <mergeCell ref="B59:C59"/>
    <mergeCell ref="A62:C62"/>
    <mergeCell ref="A1:C1"/>
    <mergeCell ref="B53:C53"/>
    <mergeCell ref="B54:C54"/>
    <mergeCell ref="B55:C55"/>
    <mergeCell ref="B56:C5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Macro Assumptions</vt:lpstr>
      <vt:lpstr>Asset Class Forecasts</vt:lpstr>
      <vt:lpstr>Methodology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Tiffany Shu</cp:lastModifiedBy>
  <cp:revision>0</cp:revision>
  <dcterms:created xsi:type="dcterms:W3CDTF">2026-05-03T10:50:51Z</dcterms:created>
  <dcterms:modified xsi:type="dcterms:W3CDTF">2026-05-03T11:40:15Z</dcterms:modified>
  <dc:language>en-US</dc:language>
</cp:coreProperties>
</file>